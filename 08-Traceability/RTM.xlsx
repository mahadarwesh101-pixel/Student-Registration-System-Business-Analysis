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Maha-Project\register-student\github\"/>
    </mc:Choice>
  </mc:AlternateContent>
  <xr:revisionPtr revIDLastSave="0" documentId="8_{ED16D457-D6E4-4AB3-90DD-A4FB4CD86C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1" r:id="rId1"/>
    <sheet name="RTM Master" sheetId="2" r:id="rId2"/>
    <sheet name="BR Catalog" sheetId="3" r:id="rId3"/>
    <sheet name="NFR Catalog" sheetId="4" r:id="rId4"/>
    <sheet name="UC Catalog" sheetId="5" r:id="rId5"/>
    <sheet name="Legend" sheetId="6" r:id="rId6"/>
    <sheet name="Requirement Test Tra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5" i="7" l="1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B11" i="1"/>
  <c r="B10" i="1"/>
  <c r="B9" i="1"/>
  <c r="B8" i="1"/>
  <c r="B6" i="1"/>
  <c r="B7" i="1" s="1"/>
  <c r="B5" i="1"/>
</calcChain>
</file>

<file path=xl/sharedStrings.xml><?xml version="1.0" encoding="utf-8"?>
<sst xmlns="http://schemas.openxmlformats.org/spreadsheetml/2006/main" count="1790" uniqueCount="838">
  <si>
    <t>Student Registration System — Enterprise RTM</t>
  </si>
  <si>
    <t>Requirements Traceability Matrix | Final Design Baseline | 08 August 2026</t>
  </si>
  <si>
    <t>Coverage KPI</t>
  </si>
  <si>
    <t>Value</t>
  </si>
  <si>
    <t>RTM Governance</t>
  </si>
  <si>
    <t>Requirement Baseline (FR + NFR)</t>
  </si>
  <si>
    <t>Baselines remain stable: 23 BR, 35 FR, 46 NFR and 29 UC. Every FR/NFR is linked to a detailed test design. Specialized suites and UAT are mapped only where applicable. Execution status, defect IDs and evidence remain explicitly pending until controlled test/UAT execution; design coverage is not treated as proof of Pass.</t>
  </si>
  <si>
    <t>Requirements with Base TC Design</t>
  </si>
  <si>
    <t>Design Coverage %</t>
  </si>
  <si>
    <t>Detailed Test Cases</t>
  </si>
  <si>
    <t>Specialized Test Entries</t>
  </si>
  <si>
    <t>UAT Business Journeys</t>
  </si>
  <si>
    <t>Executed Requirements</t>
  </si>
  <si>
    <t>Release Readiness</t>
  </si>
  <si>
    <t>Design Complete — Execution Pending</t>
  </si>
  <si>
    <t>Release decision remains pending until controlled execution and UAT evidence are recorded.</t>
  </si>
  <si>
    <t>Current state: requirements and test-design traceability are complete. Release acceptance is intentionally pending because execution results, UAT decisions, defects and evidence must be populated from real controlled execution.</t>
  </si>
  <si>
    <t>RTM Master</t>
  </si>
  <si>
    <t>Enterprise end-to-end traceability | Requirements → Test Design → UAT → Execution Evidence</t>
  </si>
  <si>
    <t>Established FR/BR/Rule/NFR/UC identifiers are preserved. Test execution remains Not Run until controlled execution; do not infer Pass from design coverage.</t>
  </si>
  <si>
    <t>FR ID</t>
  </si>
  <si>
    <t>Functional Requirement</t>
  </si>
  <si>
    <t>Business Requirement(s)</t>
  </si>
  <si>
    <t>Business Rule(s)</t>
  </si>
  <si>
    <t>NFR(s)</t>
  </si>
  <si>
    <t>Use Case(s)</t>
  </si>
  <si>
    <t>Acceptance Criteria</t>
  </si>
  <si>
    <t>Test Scenario IDs</t>
  </si>
  <si>
    <t>Base TC IDs</t>
  </si>
  <si>
    <t>Specialized Test IDs</t>
  </si>
  <si>
    <t>UAT IDs</t>
  </si>
  <si>
    <t>Priority</t>
  </si>
  <si>
    <t>Owner</t>
  </si>
  <si>
    <t>Lifecycle Status</t>
  </si>
  <si>
    <t>Design Trace Status</t>
  </si>
  <si>
    <t>Execution Status</t>
  </si>
  <si>
    <t>Evidence / Defect IDs</t>
  </si>
  <si>
    <t>Notes</t>
  </si>
  <si>
    <t>FR-001</t>
  </si>
  <si>
    <t>User Login</t>
  </si>
  <si>
    <t>BR-001</t>
  </si>
  <si>
    <t>SC-001, SC-003</t>
  </si>
  <si>
    <t>NFR-004, NFR-006, NFR-010, NFR-011, NFR-013, NFR-015, NFR-017, NFR-021, NFR-022, NFR-031, NFR-032, NFR-033, NFR-035, NFR-036, NFR-040, NFR-042</t>
  </si>
  <si>
    <t>UC-001, UC-006, UC-007, UC-025</t>
  </si>
  <si>
    <t>AC-001-*</t>
  </si>
  <si>
    <t>TS-001, TS-002</t>
  </si>
  <si>
    <t>TC-001, TC-002</t>
  </si>
  <si>
    <t>SEC-001, SEC-002, NEG-001</t>
  </si>
  <si>
    <t>UAT-001</t>
  </si>
  <si>
    <t>Critical</t>
  </si>
  <si>
    <t>IAM / Security</t>
  </si>
  <si>
    <t>Baseline</t>
  </si>
  <si>
    <t>Not Run</t>
  </si>
  <si>
    <t>UAT designed; execution evidence pending.</t>
  </si>
  <si>
    <t>FR-002</t>
  </si>
  <si>
    <t>Forgot Password</t>
  </si>
  <si>
    <t>UC-002, UC-025</t>
  </si>
  <si>
    <t>AC-002-*</t>
  </si>
  <si>
    <t>TS-003, TS-004</t>
  </si>
  <si>
    <t>TC-003, TC-004</t>
  </si>
  <si>
    <t>SEC-003, SEC-004, NEG-002</t>
  </si>
  <si>
    <t>High</t>
  </si>
  <si>
    <t>Technical/design trace complete; no dedicated business UAT journey required.</t>
  </si>
  <si>
    <t>FR-003</t>
  </si>
  <si>
    <t>Change Password</t>
  </si>
  <si>
    <t>SC-003</t>
  </si>
  <si>
    <t>UC-003, UC-025</t>
  </si>
  <si>
    <t>AC-003-*</t>
  </si>
  <si>
    <t>TS-005, TS-006</t>
  </si>
  <si>
    <t>TC-005, TC-006</t>
  </si>
  <si>
    <t>SEC-005, SEC-006, NEG-003</t>
  </si>
  <si>
    <t>FR-004</t>
  </si>
  <si>
    <t>User Logout</t>
  </si>
  <si>
    <t>SC-008</t>
  </si>
  <si>
    <t>UC-004, UC-005, UC-006, UC-008, UC-025</t>
  </si>
  <si>
    <t>AC-004-*</t>
  </si>
  <si>
    <t>TS-007, TS-008</t>
  </si>
  <si>
    <t>TC-007, TC-008</t>
  </si>
  <si>
    <t>SEC-007, NEG-004</t>
  </si>
  <si>
    <t>FR-005</t>
  </si>
  <si>
    <t>Account Lockout</t>
  </si>
  <si>
    <t>SC-005</t>
  </si>
  <si>
    <t>UC-001, UC-002, UC-006, UC-025</t>
  </si>
  <si>
    <t>AC-005-*</t>
  </si>
  <si>
    <t>TS-009, TS-010</t>
  </si>
  <si>
    <t>TC-009, TC-010</t>
  </si>
  <si>
    <t>SEC-008, NEG-005</t>
  </si>
  <si>
    <t>FR-006</t>
  </si>
  <si>
    <t>Session Timeout</t>
  </si>
  <si>
    <t>SC-004</t>
  </si>
  <si>
    <t>NFR-004, NFR-006, NFR-010, NFR-011, NFR-013, NFR-015, NFR-017, NFR-019, NFR-021, NFR-022, NFR-031, NFR-032, NFR-033, NFR-035, NFR-036, NFR-040, NFR-042</t>
  </si>
  <si>
    <t>UC-001, UC-004, UC-005, UC-006, UC-008, UC-025</t>
  </si>
  <si>
    <t>AC-006-*</t>
  </si>
  <si>
    <t>TS-011, TS-012</t>
  </si>
  <si>
    <t>TC-011, TC-012</t>
  </si>
  <si>
    <t>SEC-009, SEC-010, NEG-006</t>
  </si>
  <si>
    <t>FR-007</t>
  </si>
  <si>
    <t>Remember Me</t>
  </si>
  <si>
    <t>SC-001, SC-009</t>
  </si>
  <si>
    <t>NFR-004, NFR-006, NFR-010, NFR-011, NFR-013, NFR-015, NFR-017, NFR-020, NFR-021, NFR-022, NFR-031, NFR-032, NFR-033, NFR-035, NFR-036, NFR-040, NFR-042</t>
  </si>
  <si>
    <t>UC-004, UC-006, UC-025</t>
  </si>
  <si>
    <t>AC-007-*</t>
  </si>
  <si>
    <t>TS-013, TS-014</t>
  </si>
  <si>
    <t>TC-013, TC-014</t>
  </si>
  <si>
    <t>SEC-011, NEG-007</t>
  </si>
  <si>
    <t>FR-008</t>
  </si>
  <si>
    <t>Multi-Factor Authentication (MFA)</t>
  </si>
  <si>
    <t>SC-001, SC-002</t>
  </si>
  <si>
    <t>NFR-004, NFR-006, NFR-010, NFR-011, NFR-013, NFR-015, NFR-017, NFR-018, NFR-020, NFR-021, NFR-022, NFR-031, NFR-032, NFR-033, NFR-035, NFR-036, NFR-040, NFR-042</t>
  </si>
  <si>
    <t>UC-001, UC-002, UC-003, UC-006, UC-007, UC-009, UC-022, UC-025</t>
  </si>
  <si>
    <t>AC-008-*</t>
  </si>
  <si>
    <t>TS-015, TS-016</t>
  </si>
  <si>
    <t>TC-015, TC-016</t>
  </si>
  <si>
    <t>SEC-012, NEG-008</t>
  </si>
  <si>
    <t>FR-009</t>
  </si>
  <si>
    <t>Concurrent Session Management</t>
  </si>
  <si>
    <t>SC-009</t>
  </si>
  <si>
    <t>NFR-004, NFR-006, NFR-010, NFR-011, NFR-013, NFR-015, NFR-017, NFR-019, NFR-020, NFR-021, NFR-022, NFR-031, NFR-032, NFR-033, NFR-035, NFR-036, NFR-040, NFR-042</t>
  </si>
  <si>
    <t>UC-001, UC-004, UC-008, UC-025</t>
  </si>
  <si>
    <t>AC-009-*</t>
  </si>
  <si>
    <t>TS-017, TS-018</t>
  </si>
  <si>
    <t>TC-017, TC-018</t>
  </si>
  <si>
    <t>SEC-013, SEC-014, NEG-009</t>
  </si>
  <si>
    <t>FR-010</t>
  </si>
  <si>
    <t>Role-Based Access Control (RBAC)</t>
  </si>
  <si>
    <t>BR-001, BR-023</t>
  </si>
  <si>
    <t>SC-002, SC-006, SC-007, SC-010</t>
  </si>
  <si>
    <t>NFR-006, NFR-010, NFR-011, NFR-013, NFR-015, NFR-017, NFR-018, NFR-019, NFR-020, NFR-021, NFR-022, NFR-023, NFR-024, NFR-031, NFR-032, NFR-033, NFR-035, NFR-036, NFR-040, NFR-042, NFR-045</t>
  </si>
  <si>
    <t>UC-001, UC-003, UC-007, UC-009, UC-010, UC-022, UC-023, UC-024, UC-025, UC-026, UC-027, UC-028</t>
  </si>
  <si>
    <t>AC-010-*</t>
  </si>
  <si>
    <t>TS-019, TS-020</t>
  </si>
  <si>
    <t>TC-019, TC-020</t>
  </si>
  <si>
    <t>SEC-015, SEC-016, NEG-010</t>
  </si>
  <si>
    <t>Security Administration</t>
  </si>
  <si>
    <t>FR-011</t>
  </si>
  <si>
    <t>Student Registration &amp; Enrollment Management</t>
  </si>
  <si>
    <t>BR-001, BR-002, BR-003, BR-005, BR-006</t>
  </si>
  <si>
    <t>RC-001, RG-005, RG-006, RG-007, RG-010, AC-007, AC-008</t>
  </si>
  <si>
    <t>NFR-001, NFR-003, NFR-006, NFR-007, NFR-008, NFR-009, NFR-010, NFR-011, NFR-012, NFR-013, NFR-015, NFR-017, NFR-022, NFR-027, NFR-031, NFR-032, NFR-033, NFR-035, NFR-036, NFR-040, NFR-042, NFR-043</t>
  </si>
  <si>
    <t>UC-010, UC-013, UC-016, UC-025, UC-027, UC-028</t>
  </si>
  <si>
    <t>AC-011-*</t>
  </si>
  <si>
    <t>TS-021, TS-022</t>
  </si>
  <si>
    <t>TC-021, TC-022</t>
  </si>
  <si>
    <t>NEG-011</t>
  </si>
  <si>
    <t>UAT-003, UAT-004, UAT-015</t>
  </si>
  <si>
    <t>Registrar</t>
  </si>
  <si>
    <t>FR-012</t>
  </si>
  <si>
    <t>Course Search &amp; Section Availability</t>
  </si>
  <si>
    <t>BR-002</t>
  </si>
  <si>
    <t>AC-006</t>
  </si>
  <si>
    <t>NFR-001, NFR-002, NFR-006, NFR-007, NFR-010, NFR-011, NFR-013, NFR-015, NFR-017, NFR-022, NFR-031, NFR-032, NFR-033, NFR-035, NFR-036, NFR-040</t>
  </si>
  <si>
    <t>UC-010, UC-011, UC-024, UC-025, UC-028</t>
  </si>
  <si>
    <t>AC-012-*</t>
  </si>
  <si>
    <t>TS-023, TS-024</t>
  </si>
  <si>
    <t>TC-023, TC-024</t>
  </si>
  <si>
    <t>NEG-012</t>
  </si>
  <si>
    <t>UAT-002</t>
  </si>
  <si>
    <t>FR-013</t>
  </si>
  <si>
    <t>Prerequisite &amp; Co-requisite Validation</t>
  </si>
  <si>
    <t>BR-003, BR-007, BR-011</t>
  </si>
  <si>
    <t>AC-001, EX-003</t>
  </si>
  <si>
    <t>NFR-003, NFR-006, NFR-007, NFR-010, NFR-013, NFR-015, NFR-017, NFR-022, NFR-029, NFR-033, NFR-035, NFR-040</t>
  </si>
  <si>
    <t>UC-010, UC-012, UC-023, UC-025</t>
  </si>
  <si>
    <t>AC-013-*</t>
  </si>
  <si>
    <t>TS-025, TS-026</t>
  </si>
  <si>
    <t>TC-025, TC-026</t>
  </si>
  <si>
    <t>NEG-013</t>
  </si>
  <si>
    <t>UAT-004</t>
  </si>
  <si>
    <t>Registrar / Academic Affairs</t>
  </si>
  <si>
    <t>FR-014</t>
  </si>
  <si>
    <t>Schedule Conflict Validation</t>
  </si>
  <si>
    <t>BR-003, BR-009</t>
  </si>
  <si>
    <t>AC-004, BR-SCH-01..03</t>
  </si>
  <si>
    <t>AC-014-*</t>
  </si>
  <si>
    <t>TS-027, TS-028</t>
  </si>
  <si>
    <t>TC-027, TC-028</t>
  </si>
  <si>
    <t>NEG-014</t>
  </si>
  <si>
    <t>UAT-004, UAT-006</t>
  </si>
  <si>
    <t>FR-015</t>
  </si>
  <si>
    <t>Credit Load Validation</t>
  </si>
  <si>
    <t>BR-003, BR-008</t>
  </si>
  <si>
    <t>AC-002, AC-003, EX-002, BR-CRD-01..03</t>
  </si>
  <si>
    <t>AC-015-*</t>
  </si>
  <si>
    <t>TS-029, TS-030</t>
  </si>
  <si>
    <t>TC-029, TC-030</t>
  </si>
  <si>
    <t>NEG-015</t>
  </si>
  <si>
    <t>FR-016</t>
  </si>
  <si>
    <t>Hold &amp; Academic Eligibility Validation</t>
  </si>
  <si>
    <t>BR-003, BR-015</t>
  </si>
  <si>
    <t>AC-007, AC-008, RG-010, FN-007, EX-004, EX-007, BR-HLD-01..03</t>
  </si>
  <si>
    <t>NFR-003, NFR-006, NFR-007, NFR-010, NFR-013, NFR-015, NFR-017, NFR-022, NFR-024, NFR-029, NFR-033, NFR-035, NFR-040</t>
  </si>
  <si>
    <t>UC-010, UC-012, UC-023, UC-025, UC-027</t>
  </si>
  <si>
    <t>AC-016-*</t>
  </si>
  <si>
    <t>TS-031, TS-032</t>
  </si>
  <si>
    <t>TC-031, TC-032</t>
  </si>
  <si>
    <t>NEG-016</t>
  </si>
  <si>
    <t>Registrar / Student Affairs</t>
  </si>
  <si>
    <t>FR-017</t>
  </si>
  <si>
    <t>Registration Window &amp; Deadline Validation</t>
  </si>
  <si>
    <t>BR-003, BR-004</t>
  </si>
  <si>
    <t>RG-002, RG-003, RG-004, NT-006, EX-001, EX-005, BR-WIN-01..03</t>
  </si>
  <si>
    <t>NFR-003, NFR-006, NFR-007, NFR-010, NFR-013, NFR-015, NFR-017, NFR-022, NFR-029, NFR-033, NFR-035, NFR-038, NFR-039, NFR-040</t>
  </si>
  <si>
    <t>UC-010, UC-012, UC-023, UC-025, UC-028</t>
  </si>
  <si>
    <t>AC-017-*</t>
  </si>
  <si>
    <t>TS-033, TS-034</t>
  </si>
  <si>
    <t>TC-033, TC-034</t>
  </si>
  <si>
    <t>NEG-017</t>
  </si>
  <si>
    <t>FR-018</t>
  </si>
  <si>
    <t>Real-Time Seat Capacity &amp; Concurrency Control</t>
  </si>
  <si>
    <t>BR-002, BR-010</t>
  </si>
  <si>
    <t>AC-005, RG-008, RG-009, BR-CAP-01..03</t>
  </si>
  <si>
    <t>NFR-002, NFR-003, NFR-006, NFR-007, NFR-008, NFR-009, NFR-010, NFR-012, NFR-013, NFR-015, NFR-017, NFR-022, NFR-027, NFR-029, NFR-033, NFR-035, NFR-040, NFR-042</t>
  </si>
  <si>
    <t>UC-010, UC-011, UC-013, UC-015, UC-024, UC-025, UC-026</t>
  </si>
  <si>
    <t>AC-018-*</t>
  </si>
  <si>
    <t>TS-035, TS-036</t>
  </si>
  <si>
    <t>TC-035, TC-036</t>
  </si>
  <si>
    <t>NEG-018</t>
  </si>
  <si>
    <t>UAT-004, UAT-015</t>
  </si>
  <si>
    <t>Registrar / Academic Operations</t>
  </si>
  <si>
    <t>FR-019</t>
  </si>
  <si>
    <t>Duplicate Request Prevention &amp; Idempotency</t>
  </si>
  <si>
    <t>BR-005, BR-006</t>
  </si>
  <si>
    <t>RG-005, RG-006, BR-IDM-01..03</t>
  </si>
  <si>
    <t>NFR-003, NFR-006, NFR-007, NFR-008, NFR-009, NFR-010, NFR-012, NFR-013, NFR-015, NFR-017, NFR-022, NFR-028, NFR-033, NFR-035, NFR-040, NFR-042, NFR-043</t>
  </si>
  <si>
    <t>UC-010, UC-013, UC-025, UC-029</t>
  </si>
  <si>
    <t>AC-019-*</t>
  </si>
  <si>
    <t>TS-037, TS-038</t>
  </si>
  <si>
    <t>TC-037, TC-038</t>
  </si>
  <si>
    <t>NEG-019, INT-001, INT-002</t>
  </si>
  <si>
    <t>Platform / Registrar</t>
  </si>
  <si>
    <t>FR-020</t>
  </si>
  <si>
    <t>Add / Drop / Withdraw Management</t>
  </si>
  <si>
    <t>BR-004, BR-006</t>
  </si>
  <si>
    <t>RG-002, RG-003, RG-004, FN-012, BR-ENR-01..03</t>
  </si>
  <si>
    <t>NFR-003, NFR-006, NFR-007, NFR-008, NFR-009, NFR-010, NFR-012, NFR-013, NFR-015, NFR-017, NFR-022, NFR-027, NFR-031, NFR-032, NFR-033, NFR-034, NFR-035, NFR-036, NFR-040, NFR-042, NFR-043</t>
  </si>
  <si>
    <t>UC-014, UC-016, UC-017, UC-025, UC-027, UC-028</t>
  </si>
  <si>
    <t>AC-020-*</t>
  </si>
  <si>
    <t>TS-039, TS-040</t>
  </si>
  <si>
    <t>TC-039, TC-040</t>
  </si>
  <si>
    <t>NEG-020</t>
  </si>
  <si>
    <t>FR-021</t>
  </si>
  <si>
    <t>Waitlist Management</t>
  </si>
  <si>
    <t>BR-010, BR-020</t>
  </si>
  <si>
    <t>RG-008, RG-009, NT-005, BR-WLT-01..03</t>
  </si>
  <si>
    <t>NFR-003, NFR-006, NFR-007, NFR-008, NFR-009, NFR-010, NFR-013, NFR-015, NFR-017, NFR-022, NFR-031, NFR-032, NFR-033, NFR-035, NFR-036, NFR-040, NFR-043</t>
  </si>
  <si>
    <t>UC-015, UC-016, UC-024, UC-025, UC-026, UC-028</t>
  </si>
  <si>
    <t>AC-021-*</t>
  </si>
  <si>
    <t>TS-041, TS-042</t>
  </si>
  <si>
    <t>TC-041, TC-042</t>
  </si>
  <si>
    <t>NEG-021</t>
  </si>
  <si>
    <t>UAT-005</t>
  </si>
  <si>
    <t>FR-022</t>
  </si>
  <si>
    <t>Schedule &amp; Registration Status Synchronization</t>
  </si>
  <si>
    <t>BR-005, BR-006, BR-020</t>
  </si>
  <si>
    <t>RG-006, NT-005, BR-STA-01..03</t>
  </si>
  <si>
    <t>NFR-001, NFR-006, NFR-007, NFR-008, NFR-009, NFR-010, NFR-011, NFR-013, NFR-015, NFR-017, NFR-022, NFR-030, NFR-031, NFR-032, NFR-033, NFR-035, NFR-036, NFR-040, NFR-043</t>
  </si>
  <si>
    <t>UC-014, UC-016, UC-025, UC-028, UC-029</t>
  </si>
  <si>
    <t>AC-022-*</t>
  </si>
  <si>
    <t>TS-043, TS-044</t>
  </si>
  <si>
    <t>TC-043, TC-044</t>
  </si>
  <si>
    <t>NEG-022</t>
  </si>
  <si>
    <t>UAT-003, UAT-004, UAT-006</t>
  </si>
  <si>
    <t>Registrar / Integration</t>
  </si>
  <si>
    <t>FR-023</t>
  </si>
  <si>
    <t>Tuition &amp; Fee Calculation</t>
  </si>
  <si>
    <t>BR-012</t>
  </si>
  <si>
    <t>FN-001, FN-002, FN-003, BR-FEE-01..03</t>
  </si>
  <si>
    <t>NFR-006, NFR-008, NFR-009, NFR-010, NFR-013, NFR-015, NFR-016, NFR-017, NFR-022, NFR-024, NFR-026, NFR-027, NFR-029, NFR-030, NFR-033, NFR-034, NFR-035, NFR-039, NFR-040, NFR-043</t>
  </si>
  <si>
    <t>UC-014, UC-017, UC-018, UC-020, UC-025, UC-026, UC-027, UC-028</t>
  </si>
  <si>
    <t>AC-023-*</t>
  </si>
  <si>
    <t>TS-045, TS-046</t>
  </si>
  <si>
    <t>TC-045, TC-046</t>
  </si>
  <si>
    <t>NEG-023</t>
  </si>
  <si>
    <t>UAT-007</t>
  </si>
  <si>
    <t>Finance</t>
  </si>
  <si>
    <t>FR-024</t>
  </si>
  <si>
    <t>Invoice &amp; Student Account Posting</t>
  </si>
  <si>
    <t>BR-013</t>
  </si>
  <si>
    <t>FN-009, FN-011, FN-012, AU-003, BR-INV-01..03</t>
  </si>
  <si>
    <t>NFR-006, NFR-008, NFR-009, NFR-010, NFR-013, NFR-015, NFR-016, NFR-017, NFR-022, NFR-024, NFR-026, NFR-027, NFR-028, NFR-029, NFR-030, NFR-033, NFR-034, NFR-035, NFR-040, NFR-043</t>
  </si>
  <si>
    <t>UC-014, UC-018, UC-019, UC-020, UC-025, UC-029</t>
  </si>
  <si>
    <t>AC-024-*</t>
  </si>
  <si>
    <t>TS-047, TS-048</t>
  </si>
  <si>
    <t>TC-047, TC-048</t>
  </si>
  <si>
    <t>NEG-024</t>
  </si>
  <si>
    <t>FR-025</t>
  </si>
  <si>
    <t>Online Payment Processing</t>
  </si>
  <si>
    <t>BR-014</t>
  </si>
  <si>
    <t>FN-010, NT-004, AU-003, BR-PAY-01..03</t>
  </si>
  <si>
    <t>NFR-006, NFR-008, NFR-009, NFR-010, NFR-013, NFR-015, NFR-016, NFR-017, NFR-018, NFR-021, NFR-022, NFR-024, NFR-026, NFR-027, NFR-028, NFR-029, NFR-030, NFR-033, NFR-034, NFR-035, NFR-040, NFR-042, NFR-043</t>
  </si>
  <si>
    <t>UC-019, UC-025, UC-029</t>
  </si>
  <si>
    <t>AC-025-*</t>
  </si>
  <si>
    <t>TS-049, TS-050</t>
  </si>
  <si>
    <t>TC-049, TC-050</t>
  </si>
  <si>
    <t>NEG-025, INT-003, INT-004</t>
  </si>
  <si>
    <t>UAT-007, UAT-012, UAT-015</t>
  </si>
  <si>
    <t>FR-026</t>
  </si>
  <si>
    <t>Scholarships, Waivers &amp; Discounts</t>
  </si>
  <si>
    <t>BR-016</t>
  </si>
  <si>
    <t>FN-004, FN-005, FN-006, EX-006, BR-AID-01..03</t>
  </si>
  <si>
    <t>NFR-006, NFR-009, NFR-010, NFR-013, NFR-015, NFR-016, NFR-017, NFR-022, NFR-024, NFR-026, NFR-027, NFR-029, NFR-033, NFR-034, NFR-035, NFR-040</t>
  </si>
  <si>
    <t>UC-017, UC-018, UC-020, UC-025, UC-026, UC-027</t>
  </si>
  <si>
    <t>AC-026-*</t>
  </si>
  <si>
    <t>TS-051, TS-052</t>
  </si>
  <si>
    <t>TC-051, TC-052</t>
  </si>
  <si>
    <t>NEG-026</t>
  </si>
  <si>
    <t>Finance / Scholarship Office</t>
  </si>
  <si>
    <t>FR-027</t>
  </si>
  <si>
    <t>Notifications &amp; Communications</t>
  </si>
  <si>
    <t>BR-017, BR-018, BR-019, BR-020</t>
  </si>
  <si>
    <t>NT-001..006, BR-NTF-01..03</t>
  </si>
  <si>
    <t>NFR-006, NFR-010, NFR-013, NFR-015, NFR-017, NFR-022, NFR-028, NFR-033, NFR-035, NFR-037, NFR-038, NFR-039, NFR-040, NFR-043</t>
  </si>
  <si>
    <t>UC-002, UC-003, UC-010, UC-014, UC-015, UC-019, UC-021, UC-024, UC-025, UC-028, UC-029</t>
  </si>
  <si>
    <t>AC-027-*</t>
  </si>
  <si>
    <t>TS-053, TS-054</t>
  </si>
  <si>
    <t>TC-053, TC-054</t>
  </si>
  <si>
    <t>NEG-027, INT-005, INT-006</t>
  </si>
  <si>
    <t>UAT-008</t>
  </si>
  <si>
    <t>Registrar / Communications</t>
  </si>
  <si>
    <t>FR-028</t>
  </si>
  <si>
    <t>Exception &amp; Approval Workflow Management</t>
  </si>
  <si>
    <t>BR-011, BR-015, BR-016, BR-021</t>
  </si>
  <si>
    <t>EX-001..008, AU-004, BR-APR-01..03</t>
  </si>
  <si>
    <t>NFR-006, NFR-010, NFR-013, NFR-015, NFR-017, NFR-018, NFR-022, NFR-033, NFR-034, NFR-035, NFR-038, NFR-040, NFR-045</t>
  </si>
  <si>
    <t>UC-020, UC-022, UC-023, UC-025, UC-026, UC-027</t>
  </si>
  <si>
    <t>AC-028-*</t>
  </si>
  <si>
    <t>TS-055, TS-056</t>
  </si>
  <si>
    <t>TC-055, TC-056</t>
  </si>
  <si>
    <t>NEG-028</t>
  </si>
  <si>
    <t>UAT-011</t>
  </si>
  <si>
    <t>Registrar / Approvers</t>
  </si>
  <si>
    <t>FR-029</t>
  </si>
  <si>
    <t>Academic Policy &amp; Rule Administration</t>
  </si>
  <si>
    <t>BR-003, BR-023</t>
  </si>
  <si>
    <t>AC-001..010, EX-001..007, BR-POL-01..03</t>
  </si>
  <si>
    <t>NFR-006, NFR-010, NFR-013, NFR-015, NFR-017, NFR-018, NFR-022, NFR-033, NFR-034, NFR-035, NFR-038, NFR-039, NFR-040, NFR-045</t>
  </si>
  <si>
    <t>UC-012, UC-017, UC-022, UC-023, UC-024, UC-025, UC-026, UC-027, UC-028</t>
  </si>
  <si>
    <t>AC-029-*</t>
  </si>
  <si>
    <t>TS-057, TS-058</t>
  </si>
  <si>
    <t>TC-057, TC-058</t>
  </si>
  <si>
    <t>NEG-029</t>
  </si>
  <si>
    <t>Registrar / Academic Governance</t>
  </si>
  <si>
    <t>FR-030</t>
  </si>
  <si>
    <t>Course Section &amp; Offering Administration</t>
  </si>
  <si>
    <t>BR-002, BR-023</t>
  </si>
  <si>
    <t>AC-006, AU-005, BR-SEC-01..03</t>
  </si>
  <si>
    <t>NFR-002, NFR-006, NFR-010, NFR-013, NFR-015, NFR-017, NFR-018, NFR-022, NFR-033, NFR-034, NFR-035, NFR-038, NFR-039, NFR-040, NFR-045</t>
  </si>
  <si>
    <t>UC-011, UC-024, UC-025, UC-026, UC-027, UC-028</t>
  </si>
  <si>
    <t>AC-030-*</t>
  </si>
  <si>
    <t>TS-059, TS-060</t>
  </si>
  <si>
    <t>TC-059, TC-060</t>
  </si>
  <si>
    <t>NEG-030</t>
  </si>
  <si>
    <t>UAT-010</t>
  </si>
  <si>
    <t>Registrar / Departments</t>
  </si>
  <si>
    <t>FR-031</t>
  </si>
  <si>
    <t>Audit Trail &amp; Compliance Monitoring</t>
  </si>
  <si>
    <t>BR-021</t>
  </si>
  <si>
    <t>AU-001..008, SC-008, BR-AUD-01..03</t>
  </si>
  <si>
    <t>NFR-005, NFR-006, NFR-009, NFR-010, NFR-013, NFR-014, NFR-015, NFR-016, NFR-017, NFR-018, NFR-021, NFR-022, NFR-023, NFR-024, NFR-025, NFR-026, NFR-030, NFR-033, NFR-035, NFR-037, NFR-038, NFR-040, NFR-041, NFR-043, NFR-044, NFR-045, NFR-046</t>
  </si>
  <si>
    <t>UC-001, UC-002, UC-003, UC-004, UC-005, UC-006, UC-007, UC-008, UC-009, UC-010, UC-013, UC-016, UC-018, UC-019, UC-020, UC-021, UC-022, UC-023, UC-024, UC-025, UC-026, UC-027, UC-028, UC-029</t>
  </si>
  <si>
    <t>AC-031-*</t>
  </si>
  <si>
    <t>TS-061, TS-062</t>
  </si>
  <si>
    <t>TC-061, TC-062</t>
  </si>
  <si>
    <t>NEG-031</t>
  </si>
  <si>
    <t>Audit / Security</t>
  </si>
  <si>
    <t>FR-032</t>
  </si>
  <si>
    <t>Reporting &amp; Management Dashboards</t>
  </si>
  <si>
    <t>BR-022</t>
  </si>
  <si>
    <t>AU-008, BR-RPT-01..03</t>
  </si>
  <si>
    <t>NFR-001, NFR-005, NFR-006, NFR-010, NFR-011, NFR-013, NFR-014, NFR-015, NFR-016, NFR-017, NFR-022, NFR-023, NFR-024, NFR-025, NFR-026, NFR-030, NFR-031, NFR-033, NFR-035, NFR-037, NFR-040, NFR-041, NFR-044, NFR-046</t>
  </si>
  <si>
    <t>UC-025, UC-026, UC-027, UC-028</t>
  </si>
  <si>
    <t>AC-032-*</t>
  </si>
  <si>
    <t>TS-063, TS-064</t>
  </si>
  <si>
    <t>TC-063, TC-064</t>
  </si>
  <si>
    <t>NEG-032, INT-007, INT-008</t>
  </si>
  <si>
    <t>UAT-013</t>
  </si>
  <si>
    <t>Management / BI</t>
  </si>
  <si>
    <t>FR-033</t>
  </si>
  <si>
    <t>Student Profile &amp; Academic Status Management</t>
  </si>
  <si>
    <t>BR-003, BR-006, BR-023</t>
  </si>
  <si>
    <t>AC-007, AC-008, SC-006, SC-007, BR-STU-01..03</t>
  </si>
  <si>
    <t>NFR-001, NFR-006, NFR-010, NFR-013, NFR-015, NFR-016, NFR-017, NFR-022, NFR-023, NFR-024, NFR-025, NFR-026, NFR-029, NFR-030, NFR-031, NFR-033, NFR-035, NFR-036, NFR-037, NFR-040, NFR-041</t>
  </si>
  <si>
    <t>UC-010, UC-012, UC-025, UC-026, UC-027, UC-029</t>
  </si>
  <si>
    <t>AC-033-*</t>
  </si>
  <si>
    <t>TS-065, TS-066</t>
  </si>
  <si>
    <t>TC-065, TC-066</t>
  </si>
  <si>
    <t>NEG-033</t>
  </si>
  <si>
    <t>UAT-009</t>
  </si>
  <si>
    <t>Registrar / Student Administration</t>
  </si>
  <si>
    <t>FR-034</t>
  </si>
  <si>
    <t>Academic Term &amp; Calendar Management</t>
  </si>
  <si>
    <t>BR-003, BR-004, BR-020, BR-023</t>
  </si>
  <si>
    <t>RG-002..004, NT-006, BR-CAL-01..03</t>
  </si>
  <si>
    <t>NFR-002, NFR-006, NFR-007, NFR-010, NFR-013, NFR-015, NFR-016, NFR-017, NFR-022, NFR-023, NFR-025, NFR-026, NFR-029, NFR-030, NFR-033, NFR-035, NFR-037, NFR-038, NFR-039, NFR-040, NFR-041</t>
  </si>
  <si>
    <t>UC-010, UC-011, UC-012, UC-014, UC-015, UC-017, UC-024, UC-025, UC-026, UC-028</t>
  </si>
  <si>
    <t>AC-034-*</t>
  </si>
  <si>
    <t>TS-067, TS-068</t>
  </si>
  <si>
    <t>TC-067, TC-068</t>
  </si>
  <si>
    <t>NEG-034</t>
  </si>
  <si>
    <t>FR-035</t>
  </si>
  <si>
    <t>Enterprise Integration &amp; Data Synchronization</t>
  </si>
  <si>
    <t>BR-006, BR-013, BR-014, BR-020, BR-021, BR-022, BR-023</t>
  </si>
  <si>
    <t>BR-INT-01..03, SC-001, SC-002, AU-001</t>
  </si>
  <si>
    <t>NFR-006, NFR-007, NFR-008, NFR-010, NFR-013, NFR-014, NFR-015, NFR-016, NFR-017, NFR-021, NFR-022, NFR-023, NFR-025, NFR-026, NFR-028, NFR-029, NFR-030, NFR-033, NFR-035, NFR-037, NFR-038, NFR-040, NFR-041, NFR-042, NFR-043, NFR-044, NFR-046</t>
  </si>
  <si>
    <t>UC-016, UC-018, UC-019, UC-021, UC-024, UC-025, UC-026, UC-027, UC-028, UC-029</t>
  </si>
  <si>
    <t>AC-035-*</t>
  </si>
  <si>
    <t>TS-069, TS-070</t>
  </si>
  <si>
    <t>TC-069, TC-070</t>
  </si>
  <si>
    <t>NEG-035, INT-009, INT-010</t>
  </si>
  <si>
    <t>UAT-014</t>
  </si>
  <si>
    <t>Enterprise Integration</t>
  </si>
  <si>
    <t>Business Requirements Catalog</t>
  </si>
  <si>
    <t>Source baseline: Student_Registration_System_BRD_v1.0</t>
  </si>
  <si>
    <t>BR ID</t>
  </si>
  <si>
    <t>Business Requirement</t>
  </si>
  <si>
    <t>Domain</t>
  </si>
  <si>
    <t>Secure self-service registration.</t>
  </si>
  <si>
    <t>Student Registration Management</t>
  </si>
  <si>
    <t>Search and select courses.</t>
  </si>
  <si>
    <t>BR-003</t>
  </si>
  <si>
    <t>Enforce academic policies.</t>
  </si>
  <si>
    <t>BR-004</t>
  </si>
  <si>
    <t>Support Add/Drop/Withdraw.</t>
  </si>
  <si>
    <t>BR-005</t>
  </si>
  <si>
    <t>Registration confirmation.</t>
  </si>
  <si>
    <t>BR-006</t>
  </si>
  <si>
    <t>Maintain registration records.</t>
  </si>
  <si>
    <t>BR-007</t>
  </si>
  <si>
    <t>Validate prerequisites.</t>
  </si>
  <si>
    <t>Academic Policy Management</t>
  </si>
  <si>
    <t>BR-008</t>
  </si>
  <si>
    <t>Enforce credit hours.</t>
  </si>
  <si>
    <t>BR-009</t>
  </si>
  <si>
    <t>Prevent schedule conflicts.</t>
  </si>
  <si>
    <t>BR-010</t>
  </si>
  <si>
    <t>Validate seat availability.</t>
  </si>
  <si>
    <t>BR-011</t>
  </si>
  <si>
    <t>Support academic exceptions.</t>
  </si>
  <si>
    <t>Calculate tuition.</t>
  </si>
  <si>
    <t>Tuition &amp; Financial Management</t>
  </si>
  <si>
    <t>Generate invoices.</t>
  </si>
  <si>
    <t>Online payment.</t>
  </si>
  <si>
    <t>BR-015</t>
  </si>
  <si>
    <t>Financial Hold validation.</t>
  </si>
  <si>
    <t>Scholarships &amp; discounts.</t>
  </si>
  <si>
    <t>BR-017</t>
  </si>
  <si>
    <t>Successful registration notification.</t>
  </si>
  <si>
    <t>Notification Management</t>
  </si>
  <si>
    <t>BR-018</t>
  </si>
  <si>
    <t>Registration failure notification.</t>
  </si>
  <si>
    <t>BR-019</t>
  </si>
  <si>
    <t>Payment reminders.</t>
  </si>
  <si>
    <t>BR-020</t>
  </si>
  <si>
    <t>Registration status updates.</t>
  </si>
  <si>
    <t>Audit trail.</t>
  </si>
  <si>
    <t>Administration &amp; Reporting</t>
  </si>
  <si>
    <t>Reports.</t>
  </si>
  <si>
    <t>BR-023</t>
  </si>
  <si>
    <t>Policy administration.</t>
  </si>
  <si>
    <t>Non-Functional Requirements Catalog</t>
  </si>
  <si>
    <t>NFR-001 through NFR-046 | Source baseline: Enterprise NFR specification</t>
  </si>
  <si>
    <t>NFR ID</t>
  </si>
  <si>
    <t>Quality / Control Focus</t>
  </si>
  <si>
    <t>FR Traceability (source)</t>
  </si>
  <si>
    <t>NFR-001</t>
  </si>
  <si>
    <t>Interactive pages and dashboards performance</t>
  </si>
  <si>
    <t>FR-011-FR-012, FR-022, FR-032-FR-033</t>
  </si>
  <si>
    <t>NFR-002</t>
  </si>
  <si>
    <t>Course/section search performance</t>
  </si>
  <si>
    <t>FR-012, FR-018, FR-030, FR-034</t>
  </si>
  <si>
    <t>NFR-003</t>
  </si>
  <si>
    <t>Registration mutation performance</t>
  </si>
  <si>
    <t>FR-011, FR-013-FR-021</t>
  </si>
  <si>
    <t>NFR-004</t>
  </si>
  <si>
    <t>Authentication performance</t>
  </si>
  <si>
    <t>FR-001-FR-009</t>
  </si>
  <si>
    <t>NFR-005</t>
  </si>
  <si>
    <t>Long-running report/export responsiveness</t>
  </si>
  <si>
    <t>FR-031-FR-032</t>
  </si>
  <si>
    <t>NFR-006</t>
  </si>
  <si>
    <t>Core registration availability</t>
  </si>
  <si>
    <t>FR-001-FR-035</t>
  </si>
  <si>
    <t>NFR-007</t>
  </si>
  <si>
    <t>Priority registration availability</t>
  </si>
  <si>
    <t>FR-011-FR-022, FR-034-FR-035</t>
  </si>
  <si>
    <t>NFR-008</t>
  </si>
  <si>
    <t>Production reliability objective</t>
  </si>
  <si>
    <t>FR-011, FR-018-FR-025, FR-035</t>
  </si>
  <si>
    <t>NFR-009</t>
  </si>
  <si>
    <t>Transactional recovery point objective</t>
  </si>
  <si>
    <t>FR-011, FR-018-FR-026, FR-031</t>
  </si>
  <si>
    <t>NFR-010</t>
  </si>
  <si>
    <t>Critical service recovery objective</t>
  </si>
  <si>
    <t>NFR-011</t>
  </si>
  <si>
    <t>Platform scalability</t>
  </si>
  <si>
    <t>FR-001-FR-012, FR-022, FR-032</t>
  </si>
  <si>
    <t>NFR-012</t>
  </si>
  <si>
    <t>Registration commit scalability</t>
  </si>
  <si>
    <t>FR-011, FR-018-FR-020</t>
  </si>
  <si>
    <t>NFR-013</t>
  </si>
  <si>
    <t>Tier elasticity</t>
  </si>
  <si>
    <t>NFR-014</t>
  </si>
  <si>
    <t>Capacity saturation protection</t>
  </si>
  <si>
    <t>FR-031-FR-032, FR-035</t>
  </si>
  <si>
    <t>NFR-015</t>
  </si>
  <si>
    <t>Encryption in transit</t>
  </si>
  <si>
    <t>NFR-016</t>
  </si>
  <si>
    <t>Encryption at rest</t>
  </si>
  <si>
    <t>FR-023-FR-026, FR-031-FR-035</t>
  </si>
  <si>
    <t>NFR-017</t>
  </si>
  <si>
    <t>Authorization enforcement</t>
  </si>
  <si>
    <t>FR-010 and all protected FRs</t>
  </si>
  <si>
    <t>NFR-018</t>
  </si>
  <si>
    <t>Privileged access &amp; step-up MFA</t>
  </si>
  <si>
    <t>FR-008, FR-010, FR-025, FR-028-FR-031</t>
  </si>
  <si>
    <t>NFR-019</t>
  </si>
  <si>
    <t>Session security</t>
  </si>
  <si>
    <t>FR-006, FR-009-FR-010</t>
  </si>
  <si>
    <t>NFR-020</t>
  </si>
  <si>
    <t>Remember Me security</t>
  </si>
  <si>
    <t>FR-007-FR-010</t>
  </si>
  <si>
    <t>NFR-021</t>
  </si>
  <si>
    <t>Security logging</t>
  </si>
  <si>
    <t>FR-001-FR-010, FR-025, FR-031, FR-035</t>
  </si>
  <si>
    <t>NFR-022</t>
  </si>
  <si>
    <t>Secure release process</t>
  </si>
  <si>
    <t>NFR-023</t>
  </si>
  <si>
    <t>Security vulnerability management</t>
  </si>
  <si>
    <t>FR-010, FR-031-FR-035</t>
  </si>
  <si>
    <t>NFR-024</t>
  </si>
  <si>
    <t>Sensitive data access</t>
  </si>
  <si>
    <t>FR-010, FR-016, FR-023-FR-026, FR-031-FR-033</t>
  </si>
  <si>
    <t>NFR-025</t>
  </si>
  <si>
    <t>Retention &amp; disposal</t>
  </si>
  <si>
    <t>FR-031-FR-035</t>
  </si>
  <si>
    <t>NFR-026</t>
  </si>
  <si>
    <t>Non-production data protection</t>
  </si>
  <si>
    <t>NFR-027</t>
  </si>
  <si>
    <t>Transactional integrity</t>
  </si>
  <si>
    <t>FR-011, FR-018, FR-020, FR-023-FR-026</t>
  </si>
  <si>
    <t>NFR-028</t>
  </si>
  <si>
    <t>API/integration idempotency</t>
  </si>
  <si>
    <t>FR-019, FR-024-FR-025, FR-027, FR-035</t>
  </si>
  <si>
    <t>NFR-029</t>
  </si>
  <si>
    <t>Authoritative-data fail-safe</t>
  </si>
  <si>
    <t>FR-013-FR-018, FR-023-FR-026, FR-033-FR-035</t>
  </si>
  <si>
    <t>NFR-030</t>
  </si>
  <si>
    <t>Synchronization reliability</t>
  </si>
  <si>
    <t>FR-022-FR-025, FR-031-FR-035</t>
  </si>
  <si>
    <t>NFR-031</t>
  </si>
  <si>
    <t>Accessibility standard</t>
  </si>
  <si>
    <t>FR-001-FR-012, FR-020-FR-022, FR-032-FR-033</t>
  </si>
  <si>
    <t>NFR-032</t>
  </si>
  <si>
    <t>Keyboard &amp; assistive workflow accessibility</t>
  </si>
  <si>
    <t>FR-001-FR-012, FR-020-FR-022</t>
  </si>
  <si>
    <t>NFR-033</t>
  </si>
  <si>
    <t>Clear validation &amp; errors</t>
  </si>
  <si>
    <t>NFR-034</t>
  </si>
  <si>
    <t>Confirmation for destructive/material actions</t>
  </si>
  <si>
    <t>FR-020, FR-023-FR-026, FR-028-FR-030</t>
  </si>
  <si>
    <t>NFR-035</t>
  </si>
  <si>
    <t>Supported browser compatibility</t>
  </si>
  <si>
    <t>NFR-036</t>
  </si>
  <si>
    <t>Core workflow usability</t>
  </si>
  <si>
    <t>FR-001-FR-012, FR-020-FR-022, FR-033</t>
  </si>
  <si>
    <t>NFR-037</t>
  </si>
  <si>
    <t>API/event interoperability</t>
  </si>
  <si>
    <t>FR-027, FR-031-FR-035</t>
  </si>
  <si>
    <t>NFR-038</t>
  </si>
  <si>
    <t>Timezone/date-time consistency</t>
  </si>
  <si>
    <t>FR-017, FR-027-FR-031, FR-034-FR-035</t>
  </si>
  <si>
    <t>NFR-039</t>
  </si>
  <si>
    <t>Configuration governance</t>
  </si>
  <si>
    <t>FR-017, FR-023, FR-027, FR-029-FR-030, FR-034</t>
  </si>
  <si>
    <t>NFR-040</t>
  </si>
  <si>
    <t>Release governance</t>
  </si>
  <si>
    <t>NFR-041</t>
  </si>
  <si>
    <t>Operational ownership &amp; runbooks</t>
  </si>
  <si>
    <t>NFR-042</t>
  </si>
  <si>
    <t>Automated regression coverage</t>
  </si>
  <si>
    <t>FR-001-FR-011, FR-018-FR-020, FR-025, FR-035</t>
  </si>
  <si>
    <t>NFR-043</t>
  </si>
  <si>
    <t>Business/technical observability events</t>
  </si>
  <si>
    <t>FR-011, FR-019-FR-025, FR-027, FR-031, FR-035</t>
  </si>
  <si>
    <t>NFR-044</t>
  </si>
  <si>
    <t>Monitoring coverage</t>
  </si>
  <si>
    <t>NFR-045</t>
  </si>
  <si>
    <t>Audit record integrity</t>
  </si>
  <si>
    <t>FR-010, FR-028-FR-031</t>
  </si>
  <si>
    <t>NFR-046</t>
  </si>
  <si>
    <t>Operational alerting</t>
  </si>
  <si>
    <t>Use Case Catalog</t>
  </si>
  <si>
    <t>UC-001 through UC-029 | Source baseline: Use Case Specification Master</t>
  </si>
  <si>
    <t>UC ID</t>
  </si>
  <si>
    <t>Use Case</t>
  </si>
  <si>
    <t>Related FR(s)</t>
  </si>
  <si>
    <t>UC-001</t>
  </si>
  <si>
    <t>Student Login &amp; Authentication</t>
  </si>
  <si>
    <t>FR-001, FR-005, FR-006, FR-008, FR-009, FR-010, FR-031</t>
  </si>
  <si>
    <t>UC-002</t>
  </si>
  <si>
    <t>Forgot Password / Password Recovery</t>
  </si>
  <si>
    <t>FR-002, FR-005, FR-008, FR-027, FR-031</t>
  </si>
  <si>
    <t>UC-003</t>
  </si>
  <si>
    <t>FR-003, FR-008, FR-010, FR-027, FR-031</t>
  </si>
  <si>
    <t>UC-004</t>
  </si>
  <si>
    <t>Secure User Logout</t>
  </si>
  <si>
    <t>FR-004, FR-006, FR-007, FR-009, FR-031</t>
  </si>
  <si>
    <t>UC-005</t>
  </si>
  <si>
    <t>Session Timeout &amp; Automatic Logout</t>
  </si>
  <si>
    <t>FR-004, FR-006, FR-031</t>
  </si>
  <si>
    <t>UC-006</t>
  </si>
  <si>
    <t>Remember Me / Trusted Login</t>
  </si>
  <si>
    <t>FR-001, FR-004, FR-005, FR-006, FR-007, FR-008, FR-031</t>
  </si>
  <si>
    <t>UC-007</t>
  </si>
  <si>
    <t>Multi-Factor / Step-Up Authentication</t>
  </si>
  <si>
    <t>FR-001, FR-008, FR-010, FR-031</t>
  </si>
  <si>
    <t>UC-008</t>
  </si>
  <si>
    <t>FR-004, FR-006, FR-009, FR-031</t>
  </si>
  <si>
    <t>UC-009</t>
  </si>
  <si>
    <t>FR-008, FR-010, FR-031</t>
  </si>
  <si>
    <t>UC-010</t>
  </si>
  <si>
    <t>Student Course Registration</t>
  </si>
  <si>
    <t>FR-010, FR-011, FR-012, FR-013, FR-014, FR-015, FR-016, FR-017, FR-018, FR-019, FR-027, FR-031, FR-033, FR-034</t>
  </si>
  <si>
    <t>UC-011</t>
  </si>
  <si>
    <t>UC-012</t>
  </si>
  <si>
    <t>Registration Eligibility Validation</t>
  </si>
  <si>
    <t>FR-013, FR-014, FR-015, FR-016, FR-017, FR-029, FR-033, FR-034</t>
  </si>
  <si>
    <t>UC-013</t>
  </si>
  <si>
    <t>Seat Allocation &amp; Concurrent Registration</t>
  </si>
  <si>
    <t>FR-011, FR-018, FR-019, FR-031</t>
  </si>
  <si>
    <t>UC-014</t>
  </si>
  <si>
    <t>Add / Drop / Withdraw Course</t>
  </si>
  <si>
    <t>FR-020, FR-022, FR-023, FR-024, FR-027, FR-034</t>
  </si>
  <si>
    <t>UC-015</t>
  </si>
  <si>
    <t>FR-018, FR-021, FR-027, FR-034</t>
  </si>
  <si>
    <t>UC-016</t>
  </si>
  <si>
    <t>FR-011, FR-020, FR-021, FR-022, FR-031, FR-035</t>
  </si>
  <si>
    <t>UC-017</t>
  </si>
  <si>
    <t>FR-020, FR-023, FR-026, FR-029, FR-034</t>
  </si>
  <si>
    <t>UC-018</t>
  </si>
  <si>
    <t>FR-023, FR-024, FR-026, FR-031, FR-035</t>
  </si>
  <si>
    <t>UC-019</t>
  </si>
  <si>
    <t>FR-024, FR-025, FR-027, FR-031, FR-035</t>
  </si>
  <si>
    <t>UC-020</t>
  </si>
  <si>
    <t>FR-023, FR-024, FR-026, FR-028, FR-031</t>
  </si>
  <si>
    <t>UC-021</t>
  </si>
  <si>
    <t>FR-027, FR-031, FR-035</t>
  </si>
  <si>
    <t>UC-022</t>
  </si>
  <si>
    <t>Exception &amp; Approval Workflow</t>
  </si>
  <si>
    <t>FR-008, FR-010, FR-028, FR-029, FR-031</t>
  </si>
  <si>
    <t>UC-023</t>
  </si>
  <si>
    <t>FR-010, FR-013, FR-014, FR-015, FR-016, FR-017, FR-028, FR-029, FR-031</t>
  </si>
  <si>
    <t>UC-024</t>
  </si>
  <si>
    <t>FR-010, FR-012, FR-018, FR-021, FR-027, FR-029, FR-030, FR-031, FR-034, FR-035</t>
  </si>
  <si>
    <t>UC-025</t>
  </si>
  <si>
    <t>UC-026</t>
  </si>
  <si>
    <t>FR-010, FR-018, FR-021, FR-023, FR-026, FR-028, FR-029, FR-030, FR-031, FR-032, FR-033, FR-034, FR-035</t>
  </si>
  <si>
    <t>UC-027</t>
  </si>
  <si>
    <t>FR-010, FR-011, FR-016, FR-020, FR-023, FR-026, FR-028, FR-029, FR-030, FR-031, FR-032, FR-033, FR-035</t>
  </si>
  <si>
    <t>UC-028</t>
  </si>
  <si>
    <t>FR-010, FR-011, FR-012, FR-017, FR-020, FR-021, FR-022, FR-023, FR-027, FR-029, FR-030, FR-031, FR-032, FR-034, FR-035</t>
  </si>
  <si>
    <t>UC-029</t>
  </si>
  <si>
    <t>FR-019, FR-022, FR-024, FR-025, FR-027, FR-031, FR-033, FR-035</t>
  </si>
  <si>
    <t>RTM Conventions &amp; Legend</t>
  </si>
  <si>
    <t>How to maintain the Enterprise traceability baseline</t>
  </si>
  <si>
    <t>Item</t>
  </si>
  <si>
    <t>Convention</t>
  </si>
  <si>
    <t>Example</t>
  </si>
  <si>
    <t>Rule</t>
  </si>
  <si>
    <t>BR-###</t>
  </si>
  <si>
    <t>Business outcome/capability from BRD</t>
  </si>
  <si>
    <t>Business Rule</t>
  </si>
  <si>
    <t>Catalog / enterprise rule ID</t>
  </si>
  <si>
    <t>AC-001 / BR-CAP-01</t>
  </si>
  <si>
    <t>Policy/decision rule; Academic Rule AC-prefix is not UAT acceptance criteria</t>
  </si>
  <si>
    <t>FR-###</t>
  </si>
  <si>
    <t>System behavior baseline</t>
  </si>
  <si>
    <t>Non-Functional Requirement</t>
  </si>
  <si>
    <t>NFR-###</t>
  </si>
  <si>
    <t>Measurable quality/control constraint</t>
  </si>
  <si>
    <t>UC-###</t>
  </si>
  <si>
    <t>Actor/system interaction specification</t>
  </si>
  <si>
    <t>FR Acceptance Criteria</t>
  </si>
  <si>
    <t>AC-FRR-*</t>
  </si>
  <si>
    <t>Given/When/Then acceptance criteria inside FR specification</t>
  </si>
  <si>
    <t>Test Scenario</t>
  </si>
  <si>
    <t>TS-###</t>
  </si>
  <si>
    <t>TS-042</t>
  </si>
  <si>
    <t>Approved high-level test scenario</t>
  </si>
  <si>
    <t>Detailed Test Case</t>
  </si>
  <si>
    <t>TC-###</t>
  </si>
  <si>
    <t>TC-042</t>
  </si>
  <si>
    <t>Executable test design linked to TS and FR/NFR</t>
  </si>
  <si>
    <t>Specialized Test</t>
  </si>
  <si>
    <t>SEC/NEG/INT-###</t>
  </si>
  <si>
    <t>SEC-001</t>
  </si>
  <si>
    <t>Security, negative/boundary or integration/data specialization</t>
  </si>
  <si>
    <t>UAT Journey</t>
  </si>
  <si>
    <t>UAT-###</t>
  </si>
  <si>
    <t>UAT-003</t>
  </si>
  <si>
    <t>Business acceptance journey; applicable where business-visible</t>
  </si>
  <si>
    <t>Controlled result</t>
  </si>
  <si>
    <t>Never infer Passed from design coverage</t>
  </si>
  <si>
    <t>Traceability Status</t>
  </si>
  <si>
    <t>Formula-driven</t>
  </si>
  <si>
    <t>Complete</t>
  </si>
  <si>
    <t>Complete = scenario + base TC design linked to the requirement</t>
  </si>
  <si>
    <t>REQUIREMENT → TEST → UAT → EVIDENCE TRACE</t>
  </si>
  <si>
    <t>81-requirement enterprise baseline | Design coverage is distinct from execution evidence</t>
  </si>
  <si>
    <t>Requirement ID</t>
  </si>
  <si>
    <t>Type</t>
  </si>
  <si>
    <t>Requirement / Quality Focus</t>
  </si>
  <si>
    <t>Scenario IDs</t>
  </si>
  <si>
    <t>Test Design</t>
  </si>
  <si>
    <t>Specialized / UAT Applicability</t>
  </si>
  <si>
    <t>Defect IDs</t>
  </si>
  <si>
    <t>Evidence Reference</t>
  </si>
  <si>
    <t>Functional</t>
  </si>
  <si>
    <t>Designed</t>
  </si>
  <si>
    <t>Business UAT + Technical</t>
  </si>
  <si>
    <t>Technical / targeted as applicable</t>
  </si>
  <si>
    <t>Non-Functional</t>
  </si>
  <si>
    <t>TS-071</t>
  </si>
  <si>
    <t>TC-071</t>
  </si>
  <si>
    <t>Technical / specialized as applicable</t>
  </si>
  <si>
    <t>TS-072</t>
  </si>
  <si>
    <t>TC-072</t>
  </si>
  <si>
    <t>TS-073</t>
  </si>
  <si>
    <t>TC-073</t>
  </si>
  <si>
    <t>TS-074</t>
  </si>
  <si>
    <t>TC-074</t>
  </si>
  <si>
    <t>TS-075</t>
  </si>
  <si>
    <t>TC-075</t>
  </si>
  <si>
    <t>INT-011</t>
  </si>
  <si>
    <t>Business-visible + Technical</t>
  </si>
  <si>
    <t>TS-076</t>
  </si>
  <si>
    <t>TC-076</t>
  </si>
  <si>
    <t>TS-077</t>
  </si>
  <si>
    <t>TC-077</t>
  </si>
  <si>
    <t>TS-078</t>
  </si>
  <si>
    <t>TC-078</t>
  </si>
  <si>
    <t>TS-079</t>
  </si>
  <si>
    <t>TC-079</t>
  </si>
  <si>
    <t>TS-080</t>
  </si>
  <si>
    <t>TC-080</t>
  </si>
  <si>
    <t>TS-081</t>
  </si>
  <si>
    <t>TC-081</t>
  </si>
  <si>
    <t>TS-082</t>
  </si>
  <si>
    <t>TC-082</t>
  </si>
  <si>
    <t>TS-083</t>
  </si>
  <si>
    <t>TC-083</t>
  </si>
  <si>
    <t>TS-084</t>
  </si>
  <si>
    <t>TC-084</t>
  </si>
  <si>
    <t>TS-085</t>
  </si>
  <si>
    <t>TC-085</t>
  </si>
  <si>
    <t>SEC-017</t>
  </si>
  <si>
    <t>TS-086</t>
  </si>
  <si>
    <t>TC-086</t>
  </si>
  <si>
    <t>SEC-018</t>
  </si>
  <si>
    <t>TS-087</t>
  </si>
  <si>
    <t>TC-087</t>
  </si>
  <si>
    <t>SEC-019</t>
  </si>
  <si>
    <t>TS-088</t>
  </si>
  <si>
    <t>TC-088</t>
  </si>
  <si>
    <t>SEC-020</t>
  </si>
  <si>
    <t>TS-089</t>
  </si>
  <si>
    <t>TC-089</t>
  </si>
  <si>
    <t>SEC-021</t>
  </si>
  <si>
    <t>TS-090</t>
  </si>
  <si>
    <t>TC-090</t>
  </si>
  <si>
    <t>SEC-022</t>
  </si>
  <si>
    <t>TS-091</t>
  </si>
  <si>
    <t>TC-091</t>
  </si>
  <si>
    <t>SEC-023</t>
  </si>
  <si>
    <t>TS-092</t>
  </si>
  <si>
    <t>TC-092</t>
  </si>
  <si>
    <t>SEC-024</t>
  </si>
  <si>
    <t>TS-093</t>
  </si>
  <si>
    <t>TC-093</t>
  </si>
  <si>
    <t>SEC-025</t>
  </si>
  <si>
    <t>TS-094</t>
  </si>
  <si>
    <t>TC-094</t>
  </si>
  <si>
    <t>SEC-026</t>
  </si>
  <si>
    <t>TS-095</t>
  </si>
  <si>
    <t>TC-095</t>
  </si>
  <si>
    <t>SEC-027</t>
  </si>
  <si>
    <t>TS-096</t>
  </si>
  <si>
    <t>TC-096</t>
  </si>
  <si>
    <t>SEC-028</t>
  </si>
  <si>
    <t>TS-097</t>
  </si>
  <si>
    <t>TC-097</t>
  </si>
  <si>
    <t>INT-012</t>
  </si>
  <si>
    <t>TS-098</t>
  </si>
  <si>
    <t>TC-098</t>
  </si>
  <si>
    <t>INT-013</t>
  </si>
  <si>
    <t>TS-099</t>
  </si>
  <si>
    <t>TC-099</t>
  </si>
  <si>
    <t>INT-014</t>
  </si>
  <si>
    <t>TS-100</t>
  </si>
  <si>
    <t>TC-100</t>
  </si>
  <si>
    <t>INT-015</t>
  </si>
  <si>
    <t>TS-101</t>
  </si>
  <si>
    <t>TC-101</t>
  </si>
  <si>
    <t>TS-102</t>
  </si>
  <si>
    <t>TC-102</t>
  </si>
  <si>
    <t>TS-103</t>
  </si>
  <si>
    <t>TC-103</t>
  </si>
  <si>
    <t>TS-104</t>
  </si>
  <si>
    <t>TC-104</t>
  </si>
  <si>
    <t>TS-105</t>
  </si>
  <si>
    <t>TC-105</t>
  </si>
  <si>
    <t>INT-016</t>
  </si>
  <si>
    <t>TS-106</t>
  </si>
  <si>
    <t>TC-106</t>
  </si>
  <si>
    <t>INT-017</t>
  </si>
  <si>
    <t>TS-107</t>
  </si>
  <si>
    <t>TC-107</t>
  </si>
  <si>
    <t>INT-018</t>
  </si>
  <si>
    <t>TS-108</t>
  </si>
  <si>
    <t>TC-108</t>
  </si>
  <si>
    <t>INT-019</t>
  </si>
  <si>
    <t>TS-109</t>
  </si>
  <si>
    <t>TC-109</t>
  </si>
  <si>
    <t>TS-110</t>
  </si>
  <si>
    <t>TC-110</t>
  </si>
  <si>
    <t>TS-111</t>
  </si>
  <si>
    <t>TC-111</t>
  </si>
  <si>
    <t>TS-112</t>
  </si>
  <si>
    <t>TC-112</t>
  </si>
  <si>
    <t>TS-113</t>
  </si>
  <si>
    <t>TC-113</t>
  </si>
  <si>
    <t>TS-114</t>
  </si>
  <si>
    <t>TC-114</t>
  </si>
  <si>
    <t>TS-115</t>
  </si>
  <si>
    <t>TC-115</t>
  </si>
  <si>
    <t>SEC-029</t>
  </si>
  <si>
    <t>TS-116</t>
  </si>
  <si>
    <t>TC-116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</si>
</sst>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Aptos"/>
    </font>
    <font>
      <i/>
      <sz val="10"/>
      <color rgb="FF1F2937"/>
      <name val="Aptos"/>
    </font>
    <font>
      <sz val="11"/>
      <name val="Aptos"/>
    </font>
    <font>
      <b/>
      <sz val="11"/>
      <color rgb="FFFFFFFF"/>
      <name val="Aptos"/>
    </font>
    <font>
      <sz val="11"/>
      <color rgb="FF1F2937"/>
      <name val="Aptos"/>
    </font>
    <font>
      <i/>
      <sz val="11"/>
      <color rgb="FF1F2937"/>
      <name val="Aptos"/>
    </font>
    <font>
      <sz val="9"/>
      <color rgb="FF1F2937"/>
      <name val="Aptos"/>
    </font>
    <font>
      <b/>
      <sz val="11"/>
      <color rgb="FF1F2937"/>
      <name val="Aptos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9E6"/>
      </patternFill>
    </fill>
    <fill>
      <patternFill patternType="solid">
        <fgColor rgb="FFEEF6EE"/>
      </patternFill>
    </fill>
    <fill>
      <patternFill patternType="solid">
        <fgColor rgb="FFFFFDF4"/>
      </patternFill>
    </fill>
    <fill>
      <patternFill patternType="solid">
        <fgColor rgb="FFFFFFFF"/>
      </patternFill>
    </fill>
    <fill>
      <patternFill patternType="solid">
        <fgColor rgb="FF0F6B78"/>
      </patternFill>
    </fill>
    <fill>
      <patternFill patternType="solid">
        <fgColor rgb="FFF4F7FA"/>
      </patternFill>
    </fill>
  </fills>
  <borders count="20">
    <border>
      <left/>
      <right/>
      <top/>
      <bottom/>
      <diagonal/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/>
      <top style="thin">
        <color rgb="FFD6DEE8"/>
      </top>
      <bottom/>
      <diagonal/>
    </border>
    <border>
      <left/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 style="thin">
        <color rgb="FFD6C47A"/>
      </left>
      <right/>
      <top style="thin">
        <color rgb="FFD6C47A"/>
      </top>
      <bottom/>
      <diagonal/>
    </border>
    <border>
      <left/>
      <right/>
      <top style="thin">
        <color rgb="FFD6C47A"/>
      </top>
      <bottom/>
      <diagonal/>
    </border>
    <border>
      <left/>
      <right style="thin">
        <color rgb="FFD6C47A"/>
      </right>
      <top style="thin">
        <color rgb="FFD6C47A"/>
      </top>
      <bottom/>
      <diagonal/>
    </border>
    <border>
      <left style="thin">
        <color rgb="FFD6C47A"/>
      </left>
      <right/>
      <top/>
      <bottom/>
      <diagonal/>
    </border>
    <border>
      <left/>
      <right style="thin">
        <color rgb="FFD6C47A"/>
      </right>
      <top/>
      <bottom/>
      <diagonal/>
    </border>
    <border>
      <left style="thin">
        <color rgb="FFD6C47A"/>
      </left>
      <right/>
      <top/>
      <bottom style="thin">
        <color rgb="FFD6C47A"/>
      </bottom>
      <diagonal/>
    </border>
    <border>
      <left/>
      <right/>
      <top/>
      <bottom style="thin">
        <color rgb="FFD6C47A"/>
      </bottom>
      <diagonal/>
    </border>
    <border>
      <left/>
      <right style="thin">
        <color rgb="FFD6C47A"/>
      </right>
      <top/>
      <bottom style="thin">
        <color rgb="FFD6C47A"/>
      </bottom>
      <diagonal/>
    </border>
    <border>
      <left/>
      <right/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4" fillId="8" borderId="1" xfId="0" applyFont="1" applyFill="1" applyBorder="1" applyAlignment="1">
      <alignment vertical="center" wrapText="1"/>
    </xf>
    <xf numFmtId="0" fontId="7" fillId="9" borderId="0" xfId="0" applyFont="1" applyFill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7" fillId="11" borderId="0" xfId="0" applyFont="1" applyFill="1" applyAlignment="1">
      <alignment vertical="top" wrapText="1"/>
    </xf>
    <xf numFmtId="0" fontId="4" fillId="8" borderId="0" xfId="0" applyFont="1" applyFill="1" applyAlignment="1">
      <alignment wrapText="1"/>
    </xf>
    <xf numFmtId="0" fontId="5" fillId="12" borderId="2" xfId="0" applyFont="1" applyFill="1" applyBorder="1" applyAlignment="1">
      <alignment wrapText="1"/>
    </xf>
    <xf numFmtId="9" fontId="5" fillId="12" borderId="2" xfId="0" applyNumberFormat="1" applyFont="1" applyFill="1" applyBorder="1" applyAlignment="1">
      <alignment wrapText="1"/>
    </xf>
    <xf numFmtId="0" fontId="8" fillId="12" borderId="2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top" wrapText="1"/>
    </xf>
    <xf numFmtId="0" fontId="5" fillId="14" borderId="4" xfId="0" applyFont="1" applyFill="1" applyBorder="1" applyAlignment="1">
      <alignment vertical="top" wrapText="1"/>
    </xf>
    <xf numFmtId="0" fontId="5" fillId="14" borderId="5" xfId="0" applyFont="1" applyFill="1" applyBorder="1" applyAlignment="1">
      <alignment vertical="top" wrapText="1"/>
    </xf>
    <xf numFmtId="0" fontId="5" fillId="14" borderId="6" xfId="0" applyFont="1" applyFill="1" applyBorder="1" applyAlignment="1">
      <alignment vertical="top" wrapText="1"/>
    </xf>
    <xf numFmtId="0" fontId="5" fillId="14" borderId="0" xfId="0" applyFont="1" applyFill="1" applyAlignment="1">
      <alignment vertical="top" wrapText="1"/>
    </xf>
    <xf numFmtId="0" fontId="5" fillId="14" borderId="7" xfId="0" applyFont="1" applyFill="1" applyBorder="1" applyAlignment="1">
      <alignment vertical="top" wrapText="1"/>
    </xf>
    <xf numFmtId="0" fontId="5" fillId="14" borderId="8" xfId="0" applyFont="1" applyFill="1" applyBorder="1" applyAlignment="1">
      <alignment vertical="top" wrapText="1"/>
    </xf>
    <xf numFmtId="0" fontId="5" fillId="14" borderId="9" xfId="0" applyFont="1" applyFill="1" applyBorder="1" applyAlignment="1">
      <alignment vertical="top" wrapText="1"/>
    </xf>
    <xf numFmtId="0" fontId="5" fillId="14" borderId="10" xfId="0" applyFont="1" applyFill="1" applyBorder="1" applyAlignment="1">
      <alignment vertical="top" wrapText="1"/>
    </xf>
    <xf numFmtId="0" fontId="5" fillId="7" borderId="11" xfId="0" applyFont="1" applyFill="1" applyBorder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0" fontId="5" fillId="7" borderId="13" xfId="0" applyFont="1" applyFill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7" borderId="15" xfId="0" applyFont="1" applyFill="1" applyBorder="1" applyAlignment="1">
      <alignment vertical="center" wrapText="1"/>
    </xf>
    <xf numFmtId="0" fontId="5" fillId="7" borderId="1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vertical="center" wrapText="1"/>
    </xf>
    <xf numFmtId="0" fontId="5" fillId="7" borderId="18" xfId="0" applyFont="1" applyFill="1" applyBorder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6" fillId="7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6" borderId="0" xfId="0" applyFont="1" applyFill="1"/>
  </cellXfs>
  <cellStyles count="1">
    <cellStyle name="Normal" xfId="0" builtinId="0"/>
  </cellStyles>
  <dxfs count="18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2E7D32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RTM_Master_Table" displayName="RTM_Master_Table" ref="A5:R40" totalsRowShown="0">
  <tableColumns count="18">
    <tableColumn id="1" xr3:uid="{00000000-0010-0000-0000-000001000000}" name="FR ID"/>
    <tableColumn id="2" xr3:uid="{00000000-0010-0000-0000-000002000000}" name="Functional Requirement"/>
    <tableColumn id="3" xr3:uid="{00000000-0010-0000-0000-000003000000}" name="Business Requirement(s)"/>
    <tableColumn id="4" xr3:uid="{00000000-0010-0000-0000-000004000000}" name="Business Rule(s)"/>
    <tableColumn id="5" xr3:uid="{00000000-0010-0000-0000-000005000000}" name="NFR(s)"/>
    <tableColumn id="6" xr3:uid="{00000000-0010-0000-0000-000006000000}" name="Use Case(s)"/>
    <tableColumn id="7" xr3:uid="{00000000-0010-0000-0000-000007000000}" name="Acceptance Criteria"/>
    <tableColumn id="8" xr3:uid="{00000000-0010-0000-0000-000008000000}" name="Test Scenario IDs"/>
    <tableColumn id="9" xr3:uid="{00000000-0010-0000-0000-000009000000}" name="Base TC IDs"/>
    <tableColumn id="10" xr3:uid="{00000000-0010-0000-0000-00000A000000}" name="Specialized Test IDs"/>
    <tableColumn id="11" xr3:uid="{00000000-0010-0000-0000-00000B000000}" name="UAT IDs"/>
    <tableColumn id="12" xr3:uid="{00000000-0010-0000-0000-00000C000000}" name="Priority"/>
    <tableColumn id="13" xr3:uid="{00000000-0010-0000-0000-00000D000000}" name="Owner"/>
    <tableColumn id="14" xr3:uid="{00000000-0010-0000-0000-00000E000000}" name="Lifecycle Status"/>
    <tableColumn id="15" xr3:uid="{00000000-0010-0000-0000-00000F000000}" name="Design Trace Status"/>
    <tableColumn id="16" xr3:uid="{00000000-0010-0000-0000-000010000000}" name="Execution Status"/>
    <tableColumn id="17" xr3:uid="{00000000-0010-0000-0000-000011000000}" name="Evidence / Defect IDs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_Catalog_Table" displayName="BR_Catalog_Table" ref="A4:C27" totalsRowShown="0">
  <tableColumns count="3">
    <tableColumn id="1" xr3:uid="{00000000-0010-0000-0100-000001000000}" name="BR ID"/>
    <tableColumn id="2" xr3:uid="{00000000-0010-0000-0100-000002000000}" name="Business Requirement"/>
    <tableColumn id="3" xr3:uid="{00000000-0010-0000-0100-000003000000}" name="Doma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FR_Catalog_Table" displayName="NFR_Catalog_Table" ref="A4:C50" totalsRowShown="0">
  <tableColumns count="3">
    <tableColumn id="1" xr3:uid="{00000000-0010-0000-0200-000001000000}" name="NFR ID"/>
    <tableColumn id="2" xr3:uid="{00000000-0010-0000-0200-000002000000}" name="Quality / Control Focus"/>
    <tableColumn id="3" xr3:uid="{00000000-0010-0000-0200-000003000000}" name="FR Traceability (source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C_Catalog_Table" displayName="UC_Catalog_Table" ref="A4:C33" totalsRowShown="0">
  <tableColumns count="3">
    <tableColumn id="1" xr3:uid="{00000000-0010-0000-0300-000001000000}" name="UC ID"/>
    <tableColumn id="2" xr3:uid="{00000000-0010-0000-0300-000002000000}" name="Use Case"/>
    <tableColumn id="3" xr3:uid="{00000000-0010-0000-0300-000003000000}" name="Related FR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RequirementTestTraceTable" displayName="RequirementTestTraceTable" ref="A4:N85" totalsRowShown="0">
  <tableColumns count="14">
    <tableColumn id="1" xr3:uid="{00000000-0010-0000-0400-000001000000}" name="Requirement ID"/>
    <tableColumn id="2" xr3:uid="{00000000-0010-0000-0400-000002000000}" name="Type"/>
    <tableColumn id="3" xr3:uid="{00000000-0010-0000-0400-000003000000}" name="Requirement / Quality Focus"/>
    <tableColumn id="4" xr3:uid="{00000000-0010-0000-0400-000004000000}" name="Related FR(s)"/>
    <tableColumn id="5" xr3:uid="{00000000-0010-0000-0400-000005000000}" name="Scenario IDs"/>
    <tableColumn id="6" xr3:uid="{00000000-0010-0000-0400-000006000000}" name="Base TC IDs"/>
    <tableColumn id="7" xr3:uid="{00000000-0010-0000-0400-000007000000}" name="Specialized Test IDs"/>
    <tableColumn id="8" xr3:uid="{00000000-0010-0000-0400-000008000000}" name="UAT IDs"/>
    <tableColumn id="9" xr3:uid="{00000000-0010-0000-0400-000009000000}" name="Test Design"/>
    <tableColumn id="10" xr3:uid="{00000000-0010-0000-0400-00000A000000}" name="Specialized / UAT Applicability"/>
    <tableColumn id="11" xr3:uid="{00000000-0010-0000-0400-00000B000000}" name="Execution Status"/>
    <tableColumn id="12" xr3:uid="{00000000-0010-0000-0400-00000C000000}" name="Defect IDs"/>
    <tableColumn id="13" xr3:uid="{00000000-0010-0000-0400-00000D000000}" name="Evidence Reference"/>
    <tableColumn id="14" xr3:uid="{00000000-0010-0000-0400-00000E000000}" name="Traceabilit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/>
  </sheetViews>
  <sheetFormatPr defaultRowHeight="13.8"/>
  <cols>
    <col min="1" max="1" width="36" customWidth="1"/>
    <col min="2" max="2" width="28" customWidth="1"/>
    <col min="3" max="3" width="4" customWidth="1"/>
    <col min="4" max="8" width="18" customWidth="1"/>
  </cols>
  <sheetData>
    <row r="1" spans="1:8" ht="21.6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8" t="s">
        <v>2</v>
      </c>
      <c r="B4" s="8" t="s">
        <v>3</v>
      </c>
      <c r="C4" s="1"/>
      <c r="D4" s="18" t="s">
        <v>4</v>
      </c>
      <c r="E4" s="18"/>
      <c r="F4" s="18"/>
      <c r="G4" s="18"/>
      <c r="H4" s="18"/>
    </row>
    <row r="5" spans="1:8" ht="15" customHeight="1">
      <c r="A5" s="13" t="s">
        <v>5</v>
      </c>
      <c r="B5" s="13">
        <f>81</f>
        <v>81</v>
      </c>
      <c r="C5" s="1"/>
      <c r="D5" s="19" t="s">
        <v>6</v>
      </c>
      <c r="E5" s="20"/>
      <c r="F5" s="20"/>
      <c r="G5" s="20"/>
      <c r="H5" s="21"/>
    </row>
    <row r="6" spans="1:8" ht="15" customHeight="1">
      <c r="A6" s="13" t="s">
        <v>7</v>
      </c>
      <c r="B6" s="13">
        <f>COUNTIF('Requirement Test Trace'!$I$5:$I$85,"Designed")</f>
        <v>81</v>
      </c>
      <c r="C6" s="1"/>
      <c r="D6" s="22"/>
      <c r="E6" s="23"/>
      <c r="F6" s="23"/>
      <c r="G6" s="23"/>
      <c r="H6" s="24"/>
    </row>
    <row r="7" spans="1:8" ht="15" customHeight="1">
      <c r="A7" s="13" t="s">
        <v>8</v>
      </c>
      <c r="B7" s="14">
        <f>IF(B5=0,0,B6/B5)</f>
        <v>1</v>
      </c>
      <c r="C7" s="1"/>
      <c r="D7" s="22"/>
      <c r="E7" s="23"/>
      <c r="F7" s="23"/>
      <c r="G7" s="23"/>
      <c r="H7" s="24"/>
    </row>
    <row r="8" spans="1:8" ht="15" customHeight="1">
      <c r="A8" s="13" t="s">
        <v>9</v>
      </c>
      <c r="B8" s="13">
        <f>116</f>
        <v>116</v>
      </c>
      <c r="C8" s="1"/>
      <c r="D8" s="22"/>
      <c r="E8" s="23"/>
      <c r="F8" s="23"/>
      <c r="G8" s="23"/>
      <c r="H8" s="24"/>
    </row>
    <row r="9" spans="1:8" ht="15" customHeight="1">
      <c r="A9" s="13" t="s">
        <v>10</v>
      </c>
      <c r="B9" s="13">
        <f>83</f>
        <v>83</v>
      </c>
      <c r="C9" s="1"/>
      <c r="D9" s="22"/>
      <c r="E9" s="23"/>
      <c r="F9" s="23"/>
      <c r="G9" s="23"/>
      <c r="H9" s="24"/>
    </row>
    <row r="10" spans="1:8" ht="15" customHeight="1">
      <c r="A10" s="13" t="s">
        <v>11</v>
      </c>
      <c r="B10" s="13">
        <f>15</f>
        <v>15</v>
      </c>
      <c r="C10" s="1"/>
      <c r="D10" s="25"/>
      <c r="E10" s="26"/>
      <c r="F10" s="26"/>
      <c r="G10" s="26"/>
      <c r="H10" s="27"/>
    </row>
    <row r="11" spans="1:8" ht="15" customHeight="1">
      <c r="A11" s="13" t="s">
        <v>12</v>
      </c>
      <c r="B11" s="13">
        <f>COUNTIF('Requirement Test Trace'!$K$5:$K$85,"Passed")</f>
        <v>0</v>
      </c>
      <c r="C11" s="1"/>
      <c r="D11" s="1"/>
      <c r="E11" s="1"/>
      <c r="F11" s="1"/>
      <c r="G11" s="1"/>
      <c r="H11" s="1"/>
    </row>
    <row r="12" spans="1:8" ht="37.950000000000003" customHeight="1">
      <c r="A12" s="15" t="s">
        <v>13</v>
      </c>
      <c r="B12" s="15" t="s">
        <v>14</v>
      </c>
      <c r="C12" s="37" t="s">
        <v>15</v>
      </c>
      <c r="D12" s="37"/>
      <c r="E12" s="37"/>
      <c r="F12" s="37"/>
      <c r="G12" s="37"/>
      <c r="H12" s="37"/>
    </row>
    <row r="13" spans="1:8" ht="15" customHeight="1">
      <c r="A13" s="1"/>
      <c r="B13" s="1"/>
      <c r="C13" s="1"/>
      <c r="D13" s="1"/>
      <c r="E13" s="1"/>
      <c r="F13" s="1"/>
      <c r="G13" s="1"/>
      <c r="H13" s="1"/>
    </row>
    <row r="14" spans="1:8">
      <c r="A14" s="28" t="s">
        <v>16</v>
      </c>
      <c r="B14" s="29"/>
      <c r="C14" s="29"/>
      <c r="D14" s="29"/>
      <c r="E14" s="29"/>
      <c r="F14" s="29"/>
      <c r="G14" s="29"/>
      <c r="H14" s="30"/>
    </row>
    <row r="15" spans="1:8">
      <c r="A15" s="31"/>
      <c r="B15" s="32"/>
      <c r="C15" s="32"/>
      <c r="D15" s="32"/>
      <c r="E15" s="32"/>
      <c r="F15" s="32"/>
      <c r="G15" s="32"/>
      <c r="H15" s="33"/>
    </row>
    <row r="16" spans="1:8">
      <c r="A16" s="31"/>
      <c r="B16" s="32"/>
      <c r="C16" s="32"/>
      <c r="D16" s="32"/>
      <c r="E16" s="32"/>
      <c r="F16" s="32"/>
      <c r="G16" s="32"/>
      <c r="H16" s="33"/>
    </row>
    <row r="17" spans="1:8">
      <c r="A17" s="34"/>
      <c r="B17" s="35"/>
      <c r="C17" s="35"/>
      <c r="D17" s="35"/>
      <c r="E17" s="35"/>
      <c r="F17" s="35"/>
      <c r="G17" s="35"/>
      <c r="H17" s="36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</sheetData>
  <mergeCells count="6">
    <mergeCell ref="A1:H1"/>
    <mergeCell ref="A2:H2"/>
    <mergeCell ref="D4:H4"/>
    <mergeCell ref="D5:H10"/>
    <mergeCell ref="A14:H17"/>
    <mergeCell ref="C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showGridLines="0" workbookViewId="0"/>
  </sheetViews>
  <sheetFormatPr defaultRowHeight="13.8"/>
  <cols>
    <col min="1" max="1" width="12" customWidth="1"/>
    <col min="2" max="2" width="33" customWidth="1"/>
    <col min="3" max="3" width="28" customWidth="1"/>
    <col min="4" max="4" width="36" customWidth="1"/>
    <col min="5" max="5" width="46" customWidth="1"/>
    <col min="6" max="6" width="42" customWidth="1"/>
    <col min="7" max="7" width="17" customWidth="1"/>
    <col min="8" max="9" width="20" customWidth="1"/>
    <col min="10" max="10" width="28" customWidth="1"/>
    <col min="11" max="11" width="22" customWidth="1"/>
    <col min="12" max="12" width="11" customWidth="1"/>
    <col min="13" max="13" width="26" customWidth="1"/>
    <col min="14" max="14" width="17" customWidth="1"/>
    <col min="15" max="15" width="18" customWidth="1"/>
    <col min="16" max="16" width="16" customWidth="1"/>
    <col min="17" max="17" width="30" customWidth="1"/>
    <col min="18" max="18" width="38" customWidth="1"/>
  </cols>
  <sheetData>
    <row r="1" spans="1:18" ht="30" customHeight="1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4" customHeight="1">
      <c r="A2" s="38" t="s">
        <v>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8" ht="30" customHeight="1">
      <c r="A4" s="39" t="s">
        <v>19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ht="31.95" customHeight="1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33</v>
      </c>
      <c r="O5" s="8" t="s">
        <v>34</v>
      </c>
      <c r="P5" s="8" t="s">
        <v>35</v>
      </c>
      <c r="Q5" s="8" t="s">
        <v>36</v>
      </c>
      <c r="R5" s="8" t="s">
        <v>37</v>
      </c>
    </row>
    <row r="6" spans="1:18" ht="67.95" customHeight="1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9" t="s">
        <v>45</v>
      </c>
      <c r="I6" s="9" t="s">
        <v>46</v>
      </c>
      <c r="J6" s="9" t="s">
        <v>47</v>
      </c>
      <c r="K6" s="9" t="s">
        <v>48</v>
      </c>
      <c r="L6" s="10" t="s">
        <v>49</v>
      </c>
      <c r="M6" s="10" t="s">
        <v>50</v>
      </c>
      <c r="N6" s="10" t="s">
        <v>51</v>
      </c>
      <c r="O6" s="4" t="str">
        <f t="shared" ref="O6:O40" si="0">IF(COUNTA(C6:I6)=7,"Complete","Review")</f>
        <v>Complete</v>
      </c>
      <c r="P6" s="11" t="s">
        <v>52</v>
      </c>
      <c r="Q6" s="11"/>
      <c r="R6" s="11" t="s">
        <v>53</v>
      </c>
    </row>
    <row r="7" spans="1:18" ht="67.95" customHeight="1">
      <c r="A7" s="4" t="s">
        <v>54</v>
      </c>
      <c r="B7" s="4" t="s">
        <v>55</v>
      </c>
      <c r="C7" s="4" t="s">
        <v>40</v>
      </c>
      <c r="D7" s="4" t="s">
        <v>41</v>
      </c>
      <c r="E7" s="4" t="s">
        <v>42</v>
      </c>
      <c r="F7" s="4" t="s">
        <v>56</v>
      </c>
      <c r="G7" s="4" t="s">
        <v>57</v>
      </c>
      <c r="H7" s="9" t="s">
        <v>58</v>
      </c>
      <c r="I7" s="9" t="s">
        <v>59</v>
      </c>
      <c r="J7" s="9" t="s">
        <v>60</v>
      </c>
      <c r="K7" s="9"/>
      <c r="L7" s="10" t="s">
        <v>61</v>
      </c>
      <c r="M7" s="10" t="s">
        <v>50</v>
      </c>
      <c r="N7" s="10" t="s">
        <v>51</v>
      </c>
      <c r="O7" s="4" t="str">
        <f t="shared" si="0"/>
        <v>Complete</v>
      </c>
      <c r="P7" s="11" t="s">
        <v>52</v>
      </c>
      <c r="Q7" s="11"/>
      <c r="R7" s="11" t="s">
        <v>62</v>
      </c>
    </row>
    <row r="8" spans="1:18" ht="67.95" customHeight="1">
      <c r="A8" s="4" t="s">
        <v>63</v>
      </c>
      <c r="B8" s="4" t="s">
        <v>64</v>
      </c>
      <c r="C8" s="4" t="s">
        <v>40</v>
      </c>
      <c r="D8" s="4" t="s">
        <v>65</v>
      </c>
      <c r="E8" s="4" t="s">
        <v>42</v>
      </c>
      <c r="F8" s="4" t="s">
        <v>66</v>
      </c>
      <c r="G8" s="4" t="s">
        <v>67</v>
      </c>
      <c r="H8" s="9" t="s">
        <v>68</v>
      </c>
      <c r="I8" s="9" t="s">
        <v>69</v>
      </c>
      <c r="J8" s="9" t="s">
        <v>70</v>
      </c>
      <c r="K8" s="9"/>
      <c r="L8" s="10" t="s">
        <v>61</v>
      </c>
      <c r="M8" s="10" t="s">
        <v>50</v>
      </c>
      <c r="N8" s="10" t="s">
        <v>51</v>
      </c>
      <c r="O8" s="4" t="str">
        <f t="shared" si="0"/>
        <v>Complete</v>
      </c>
      <c r="P8" s="11" t="s">
        <v>52</v>
      </c>
      <c r="Q8" s="11"/>
      <c r="R8" s="11" t="s">
        <v>62</v>
      </c>
    </row>
    <row r="9" spans="1:18" ht="67.95" customHeight="1">
      <c r="A9" s="4" t="s">
        <v>71</v>
      </c>
      <c r="B9" s="4" t="s">
        <v>72</v>
      </c>
      <c r="C9" s="4" t="s">
        <v>40</v>
      </c>
      <c r="D9" s="4" t="s">
        <v>73</v>
      </c>
      <c r="E9" s="4" t="s">
        <v>42</v>
      </c>
      <c r="F9" s="4" t="s">
        <v>74</v>
      </c>
      <c r="G9" s="4" t="s">
        <v>75</v>
      </c>
      <c r="H9" s="9" t="s">
        <v>76</v>
      </c>
      <c r="I9" s="9" t="s">
        <v>77</v>
      </c>
      <c r="J9" s="9" t="s">
        <v>78</v>
      </c>
      <c r="K9" s="9" t="s">
        <v>48</v>
      </c>
      <c r="L9" s="10" t="s">
        <v>61</v>
      </c>
      <c r="M9" s="10" t="s">
        <v>50</v>
      </c>
      <c r="N9" s="10" t="s">
        <v>51</v>
      </c>
      <c r="O9" s="4" t="str">
        <f t="shared" si="0"/>
        <v>Complete</v>
      </c>
      <c r="P9" s="11" t="s">
        <v>52</v>
      </c>
      <c r="Q9" s="11"/>
      <c r="R9" s="11" t="s">
        <v>53</v>
      </c>
    </row>
    <row r="10" spans="1:18" ht="67.95" customHeight="1">
      <c r="A10" s="4" t="s">
        <v>79</v>
      </c>
      <c r="B10" s="4" t="s">
        <v>80</v>
      </c>
      <c r="C10" s="4" t="s">
        <v>40</v>
      </c>
      <c r="D10" s="4" t="s">
        <v>81</v>
      </c>
      <c r="E10" s="4" t="s">
        <v>42</v>
      </c>
      <c r="F10" s="4" t="s">
        <v>82</v>
      </c>
      <c r="G10" s="4" t="s">
        <v>83</v>
      </c>
      <c r="H10" s="9" t="s">
        <v>84</v>
      </c>
      <c r="I10" s="9" t="s">
        <v>85</v>
      </c>
      <c r="J10" s="9" t="s">
        <v>86</v>
      </c>
      <c r="K10" s="9"/>
      <c r="L10" s="10" t="s">
        <v>49</v>
      </c>
      <c r="M10" s="10" t="s">
        <v>50</v>
      </c>
      <c r="N10" s="10" t="s">
        <v>51</v>
      </c>
      <c r="O10" s="4" t="str">
        <f t="shared" si="0"/>
        <v>Complete</v>
      </c>
      <c r="P10" s="11" t="s">
        <v>52</v>
      </c>
      <c r="Q10" s="11"/>
      <c r="R10" s="11" t="s">
        <v>62</v>
      </c>
    </row>
    <row r="11" spans="1:18" ht="67.95" customHeight="1">
      <c r="A11" s="4" t="s">
        <v>87</v>
      </c>
      <c r="B11" s="4" t="s">
        <v>88</v>
      </c>
      <c r="C11" s="4" t="s">
        <v>40</v>
      </c>
      <c r="D11" s="4" t="s">
        <v>89</v>
      </c>
      <c r="E11" s="4" t="s">
        <v>90</v>
      </c>
      <c r="F11" s="4" t="s">
        <v>91</v>
      </c>
      <c r="G11" s="4" t="s">
        <v>92</v>
      </c>
      <c r="H11" s="9" t="s">
        <v>93</v>
      </c>
      <c r="I11" s="9" t="s">
        <v>94</v>
      </c>
      <c r="J11" s="9" t="s">
        <v>95</v>
      </c>
      <c r="K11" s="9" t="s">
        <v>48</v>
      </c>
      <c r="L11" s="10" t="s">
        <v>61</v>
      </c>
      <c r="M11" s="10" t="s">
        <v>50</v>
      </c>
      <c r="N11" s="10" t="s">
        <v>51</v>
      </c>
      <c r="O11" s="4" t="str">
        <f t="shared" si="0"/>
        <v>Complete</v>
      </c>
      <c r="P11" s="11" t="s">
        <v>52</v>
      </c>
      <c r="Q11" s="11"/>
      <c r="R11" s="11" t="s">
        <v>53</v>
      </c>
    </row>
    <row r="12" spans="1:18" ht="67.95" customHeight="1">
      <c r="A12" s="4" t="s">
        <v>96</v>
      </c>
      <c r="B12" s="4" t="s">
        <v>97</v>
      </c>
      <c r="C12" s="4" t="s">
        <v>40</v>
      </c>
      <c r="D12" s="4" t="s">
        <v>98</v>
      </c>
      <c r="E12" s="4" t="s">
        <v>99</v>
      </c>
      <c r="F12" s="4" t="s">
        <v>100</v>
      </c>
      <c r="G12" s="4" t="s">
        <v>101</v>
      </c>
      <c r="H12" s="9" t="s">
        <v>102</v>
      </c>
      <c r="I12" s="9" t="s">
        <v>103</v>
      </c>
      <c r="J12" s="9" t="s">
        <v>104</v>
      </c>
      <c r="K12" s="9"/>
      <c r="L12" s="10" t="s">
        <v>61</v>
      </c>
      <c r="M12" s="10" t="s">
        <v>50</v>
      </c>
      <c r="N12" s="10" t="s">
        <v>51</v>
      </c>
      <c r="O12" s="4" t="str">
        <f t="shared" si="0"/>
        <v>Complete</v>
      </c>
      <c r="P12" s="11" t="s">
        <v>52</v>
      </c>
      <c r="Q12" s="11"/>
      <c r="R12" s="11" t="s">
        <v>62</v>
      </c>
    </row>
    <row r="13" spans="1:18" ht="67.95" customHeight="1">
      <c r="A13" s="4" t="s">
        <v>105</v>
      </c>
      <c r="B13" s="4" t="s">
        <v>106</v>
      </c>
      <c r="C13" s="4" t="s">
        <v>40</v>
      </c>
      <c r="D13" s="4" t="s">
        <v>107</v>
      </c>
      <c r="E13" s="4" t="s">
        <v>108</v>
      </c>
      <c r="F13" s="4" t="s">
        <v>109</v>
      </c>
      <c r="G13" s="4" t="s">
        <v>110</v>
      </c>
      <c r="H13" s="9" t="s">
        <v>111</v>
      </c>
      <c r="I13" s="9" t="s">
        <v>112</v>
      </c>
      <c r="J13" s="9" t="s">
        <v>113</v>
      </c>
      <c r="K13" s="9"/>
      <c r="L13" s="10" t="s">
        <v>49</v>
      </c>
      <c r="M13" s="10" t="s">
        <v>50</v>
      </c>
      <c r="N13" s="10" t="s">
        <v>51</v>
      </c>
      <c r="O13" s="4" t="str">
        <f t="shared" si="0"/>
        <v>Complete</v>
      </c>
      <c r="P13" s="11" t="s">
        <v>52</v>
      </c>
      <c r="Q13" s="11"/>
      <c r="R13" s="11" t="s">
        <v>62</v>
      </c>
    </row>
    <row r="14" spans="1:18" ht="67.95" customHeight="1">
      <c r="A14" s="4" t="s">
        <v>114</v>
      </c>
      <c r="B14" s="4" t="s">
        <v>115</v>
      </c>
      <c r="C14" s="4" t="s">
        <v>40</v>
      </c>
      <c r="D14" s="4" t="s">
        <v>116</v>
      </c>
      <c r="E14" s="4" t="s">
        <v>117</v>
      </c>
      <c r="F14" s="4" t="s">
        <v>118</v>
      </c>
      <c r="G14" s="4" t="s">
        <v>119</v>
      </c>
      <c r="H14" s="9" t="s">
        <v>120</v>
      </c>
      <c r="I14" s="9" t="s">
        <v>121</v>
      </c>
      <c r="J14" s="9" t="s">
        <v>122</v>
      </c>
      <c r="K14" s="9" t="s">
        <v>48</v>
      </c>
      <c r="L14" s="10" t="s">
        <v>49</v>
      </c>
      <c r="M14" s="10" t="s">
        <v>50</v>
      </c>
      <c r="N14" s="10" t="s">
        <v>51</v>
      </c>
      <c r="O14" s="4" t="str">
        <f t="shared" si="0"/>
        <v>Complete</v>
      </c>
      <c r="P14" s="11" t="s">
        <v>52</v>
      </c>
      <c r="Q14" s="11"/>
      <c r="R14" s="11" t="s">
        <v>53</v>
      </c>
    </row>
    <row r="15" spans="1:18" ht="67.95" customHeight="1">
      <c r="A15" s="4" t="s">
        <v>123</v>
      </c>
      <c r="B15" s="4" t="s">
        <v>124</v>
      </c>
      <c r="C15" s="4" t="s">
        <v>125</v>
      </c>
      <c r="D15" s="4" t="s">
        <v>126</v>
      </c>
      <c r="E15" s="4" t="s">
        <v>127</v>
      </c>
      <c r="F15" s="4" t="s">
        <v>128</v>
      </c>
      <c r="G15" s="4" t="s">
        <v>129</v>
      </c>
      <c r="H15" s="9" t="s">
        <v>130</v>
      </c>
      <c r="I15" s="9" t="s">
        <v>131</v>
      </c>
      <c r="J15" s="9" t="s">
        <v>132</v>
      </c>
      <c r="K15" s="9"/>
      <c r="L15" s="10" t="s">
        <v>49</v>
      </c>
      <c r="M15" s="10" t="s">
        <v>133</v>
      </c>
      <c r="N15" s="10" t="s">
        <v>51</v>
      </c>
      <c r="O15" s="4" t="str">
        <f t="shared" si="0"/>
        <v>Complete</v>
      </c>
      <c r="P15" s="11" t="s">
        <v>52</v>
      </c>
      <c r="Q15" s="11"/>
      <c r="R15" s="11" t="s">
        <v>62</v>
      </c>
    </row>
    <row r="16" spans="1:18" ht="67.95" customHeight="1">
      <c r="A16" s="4" t="s">
        <v>134</v>
      </c>
      <c r="B16" s="4" t="s">
        <v>135</v>
      </c>
      <c r="C16" s="4" t="s">
        <v>136</v>
      </c>
      <c r="D16" s="4" t="s">
        <v>137</v>
      </c>
      <c r="E16" s="4" t="s">
        <v>138</v>
      </c>
      <c r="F16" s="4" t="s">
        <v>139</v>
      </c>
      <c r="G16" s="4" t="s">
        <v>140</v>
      </c>
      <c r="H16" s="9" t="s">
        <v>141</v>
      </c>
      <c r="I16" s="9" t="s">
        <v>142</v>
      </c>
      <c r="J16" s="9" t="s">
        <v>143</v>
      </c>
      <c r="K16" s="9" t="s">
        <v>144</v>
      </c>
      <c r="L16" s="10" t="s">
        <v>49</v>
      </c>
      <c r="M16" s="10" t="s">
        <v>145</v>
      </c>
      <c r="N16" s="10" t="s">
        <v>51</v>
      </c>
      <c r="O16" s="4" t="str">
        <f t="shared" si="0"/>
        <v>Complete</v>
      </c>
      <c r="P16" s="11" t="s">
        <v>52</v>
      </c>
      <c r="Q16" s="11"/>
      <c r="R16" s="11" t="s">
        <v>53</v>
      </c>
    </row>
    <row r="17" spans="1:18" ht="67.95" customHeight="1">
      <c r="A17" s="4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9" t="s">
        <v>153</v>
      </c>
      <c r="I17" s="9" t="s">
        <v>154</v>
      </c>
      <c r="J17" s="9" t="s">
        <v>155</v>
      </c>
      <c r="K17" s="9" t="s">
        <v>156</v>
      </c>
      <c r="L17" s="10" t="s">
        <v>61</v>
      </c>
      <c r="M17" s="10" t="s">
        <v>145</v>
      </c>
      <c r="N17" s="10" t="s">
        <v>51</v>
      </c>
      <c r="O17" s="4" t="str">
        <f t="shared" si="0"/>
        <v>Complete</v>
      </c>
      <c r="P17" s="11" t="s">
        <v>52</v>
      </c>
      <c r="Q17" s="11"/>
      <c r="R17" s="11" t="s">
        <v>53</v>
      </c>
    </row>
    <row r="18" spans="1:18" ht="67.95" customHeight="1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9" t="s">
        <v>164</v>
      </c>
      <c r="I18" s="9" t="s">
        <v>165</v>
      </c>
      <c r="J18" s="9" t="s">
        <v>166</v>
      </c>
      <c r="K18" s="9" t="s">
        <v>167</v>
      </c>
      <c r="L18" s="10" t="s">
        <v>49</v>
      </c>
      <c r="M18" s="10" t="s">
        <v>168</v>
      </c>
      <c r="N18" s="10" t="s">
        <v>51</v>
      </c>
      <c r="O18" s="4" t="str">
        <f t="shared" si="0"/>
        <v>Complete</v>
      </c>
      <c r="P18" s="11" t="s">
        <v>52</v>
      </c>
      <c r="Q18" s="11"/>
      <c r="R18" s="11" t="s">
        <v>53</v>
      </c>
    </row>
    <row r="19" spans="1:18" ht="67.95" customHeight="1">
      <c r="A19" s="4" t="s">
        <v>169</v>
      </c>
      <c r="B19" s="4" t="s">
        <v>170</v>
      </c>
      <c r="C19" s="4" t="s">
        <v>171</v>
      </c>
      <c r="D19" s="4" t="s">
        <v>172</v>
      </c>
      <c r="E19" s="4" t="s">
        <v>161</v>
      </c>
      <c r="F19" s="4" t="s">
        <v>162</v>
      </c>
      <c r="G19" s="4" t="s">
        <v>173</v>
      </c>
      <c r="H19" s="9" t="s">
        <v>174</v>
      </c>
      <c r="I19" s="9" t="s">
        <v>175</v>
      </c>
      <c r="J19" s="9" t="s">
        <v>176</v>
      </c>
      <c r="K19" s="9" t="s">
        <v>177</v>
      </c>
      <c r="L19" s="10" t="s">
        <v>49</v>
      </c>
      <c r="M19" s="10" t="s">
        <v>145</v>
      </c>
      <c r="N19" s="10" t="s">
        <v>51</v>
      </c>
      <c r="O19" s="4" t="str">
        <f t="shared" si="0"/>
        <v>Complete</v>
      </c>
      <c r="P19" s="11" t="s">
        <v>52</v>
      </c>
      <c r="Q19" s="11"/>
      <c r="R19" s="11" t="s">
        <v>53</v>
      </c>
    </row>
    <row r="20" spans="1:18" ht="67.95" customHeight="1">
      <c r="A20" s="4" t="s">
        <v>178</v>
      </c>
      <c r="B20" s="4" t="s">
        <v>179</v>
      </c>
      <c r="C20" s="4" t="s">
        <v>180</v>
      </c>
      <c r="D20" s="4" t="s">
        <v>181</v>
      </c>
      <c r="E20" s="4" t="s">
        <v>161</v>
      </c>
      <c r="F20" s="4" t="s">
        <v>162</v>
      </c>
      <c r="G20" s="4" t="s">
        <v>182</v>
      </c>
      <c r="H20" s="9" t="s">
        <v>183</v>
      </c>
      <c r="I20" s="9" t="s">
        <v>184</v>
      </c>
      <c r="J20" s="9" t="s">
        <v>185</v>
      </c>
      <c r="K20" s="9" t="s">
        <v>167</v>
      </c>
      <c r="L20" s="10" t="s">
        <v>49</v>
      </c>
      <c r="M20" s="10" t="s">
        <v>145</v>
      </c>
      <c r="N20" s="10" t="s">
        <v>51</v>
      </c>
      <c r="O20" s="4" t="str">
        <f t="shared" si="0"/>
        <v>Complete</v>
      </c>
      <c r="P20" s="11" t="s">
        <v>52</v>
      </c>
      <c r="Q20" s="11"/>
      <c r="R20" s="11" t="s">
        <v>53</v>
      </c>
    </row>
    <row r="21" spans="1:18" ht="67.95" customHeight="1">
      <c r="A21" s="4" t="s">
        <v>186</v>
      </c>
      <c r="B21" s="4" t="s">
        <v>187</v>
      </c>
      <c r="C21" s="4" t="s">
        <v>188</v>
      </c>
      <c r="D21" s="4" t="s">
        <v>189</v>
      </c>
      <c r="E21" s="4" t="s">
        <v>190</v>
      </c>
      <c r="F21" s="4" t="s">
        <v>191</v>
      </c>
      <c r="G21" s="4" t="s">
        <v>192</v>
      </c>
      <c r="H21" s="9" t="s">
        <v>193</v>
      </c>
      <c r="I21" s="9" t="s">
        <v>194</v>
      </c>
      <c r="J21" s="9" t="s">
        <v>195</v>
      </c>
      <c r="K21" s="9" t="s">
        <v>167</v>
      </c>
      <c r="L21" s="10" t="s">
        <v>49</v>
      </c>
      <c r="M21" s="10" t="s">
        <v>196</v>
      </c>
      <c r="N21" s="10" t="s">
        <v>51</v>
      </c>
      <c r="O21" s="4" t="str">
        <f t="shared" si="0"/>
        <v>Complete</v>
      </c>
      <c r="P21" s="11" t="s">
        <v>52</v>
      </c>
      <c r="Q21" s="11"/>
      <c r="R21" s="11" t="s">
        <v>53</v>
      </c>
    </row>
    <row r="22" spans="1:18" ht="67.95" customHeight="1">
      <c r="A22" s="4" t="s">
        <v>197</v>
      </c>
      <c r="B22" s="4" t="s">
        <v>198</v>
      </c>
      <c r="C22" s="4" t="s">
        <v>199</v>
      </c>
      <c r="D22" s="4" t="s">
        <v>200</v>
      </c>
      <c r="E22" s="4" t="s">
        <v>201</v>
      </c>
      <c r="F22" s="4" t="s">
        <v>202</v>
      </c>
      <c r="G22" s="4" t="s">
        <v>203</v>
      </c>
      <c r="H22" s="9" t="s">
        <v>204</v>
      </c>
      <c r="I22" s="9" t="s">
        <v>205</v>
      </c>
      <c r="J22" s="9" t="s">
        <v>206</v>
      </c>
      <c r="K22" s="9" t="s">
        <v>167</v>
      </c>
      <c r="L22" s="10" t="s">
        <v>49</v>
      </c>
      <c r="M22" s="10" t="s">
        <v>145</v>
      </c>
      <c r="N22" s="10" t="s">
        <v>51</v>
      </c>
      <c r="O22" s="4" t="str">
        <f t="shared" si="0"/>
        <v>Complete</v>
      </c>
      <c r="P22" s="11" t="s">
        <v>52</v>
      </c>
      <c r="Q22" s="11"/>
      <c r="R22" s="11" t="s">
        <v>53</v>
      </c>
    </row>
    <row r="23" spans="1:18" ht="67.95" customHeight="1">
      <c r="A23" s="4" t="s">
        <v>207</v>
      </c>
      <c r="B23" s="4" t="s">
        <v>208</v>
      </c>
      <c r="C23" s="4" t="s">
        <v>209</v>
      </c>
      <c r="D23" s="4" t="s">
        <v>210</v>
      </c>
      <c r="E23" s="4" t="s">
        <v>211</v>
      </c>
      <c r="F23" s="4" t="s">
        <v>212</v>
      </c>
      <c r="G23" s="4" t="s">
        <v>213</v>
      </c>
      <c r="H23" s="9" t="s">
        <v>214</v>
      </c>
      <c r="I23" s="9" t="s">
        <v>215</v>
      </c>
      <c r="J23" s="9" t="s">
        <v>216</v>
      </c>
      <c r="K23" s="9" t="s">
        <v>217</v>
      </c>
      <c r="L23" s="10" t="s">
        <v>49</v>
      </c>
      <c r="M23" s="10" t="s">
        <v>218</v>
      </c>
      <c r="N23" s="10" t="s">
        <v>51</v>
      </c>
      <c r="O23" s="4" t="str">
        <f t="shared" si="0"/>
        <v>Complete</v>
      </c>
      <c r="P23" s="11" t="s">
        <v>52</v>
      </c>
      <c r="Q23" s="11"/>
      <c r="R23" s="11" t="s">
        <v>53</v>
      </c>
    </row>
    <row r="24" spans="1:18" ht="67.95" customHeight="1">
      <c r="A24" s="4" t="s">
        <v>219</v>
      </c>
      <c r="B24" s="4" t="s">
        <v>220</v>
      </c>
      <c r="C24" s="4" t="s">
        <v>221</v>
      </c>
      <c r="D24" s="4" t="s">
        <v>222</v>
      </c>
      <c r="E24" s="4" t="s">
        <v>223</v>
      </c>
      <c r="F24" s="4" t="s">
        <v>224</v>
      </c>
      <c r="G24" s="4" t="s">
        <v>225</v>
      </c>
      <c r="H24" s="9" t="s">
        <v>226</v>
      </c>
      <c r="I24" s="9" t="s">
        <v>227</v>
      </c>
      <c r="J24" s="9" t="s">
        <v>228</v>
      </c>
      <c r="K24" s="9" t="s">
        <v>144</v>
      </c>
      <c r="L24" s="10" t="s">
        <v>49</v>
      </c>
      <c r="M24" s="10" t="s">
        <v>229</v>
      </c>
      <c r="N24" s="10" t="s">
        <v>51</v>
      </c>
      <c r="O24" s="4" t="str">
        <f t="shared" si="0"/>
        <v>Complete</v>
      </c>
      <c r="P24" s="11" t="s">
        <v>52</v>
      </c>
      <c r="Q24" s="11"/>
      <c r="R24" s="11" t="s">
        <v>53</v>
      </c>
    </row>
    <row r="25" spans="1:18" ht="67.95" customHeight="1">
      <c r="A25" s="4" t="s">
        <v>230</v>
      </c>
      <c r="B25" s="4" t="s">
        <v>231</v>
      </c>
      <c r="C25" s="4" t="s">
        <v>232</v>
      </c>
      <c r="D25" s="4" t="s">
        <v>233</v>
      </c>
      <c r="E25" s="4" t="s">
        <v>234</v>
      </c>
      <c r="F25" s="4" t="s">
        <v>235</v>
      </c>
      <c r="G25" s="4" t="s">
        <v>236</v>
      </c>
      <c r="H25" s="9" t="s">
        <v>237</v>
      </c>
      <c r="I25" s="9" t="s">
        <v>238</v>
      </c>
      <c r="J25" s="9" t="s">
        <v>239</v>
      </c>
      <c r="K25" s="9" t="s">
        <v>177</v>
      </c>
      <c r="L25" s="10" t="s">
        <v>49</v>
      </c>
      <c r="M25" s="10" t="s">
        <v>145</v>
      </c>
      <c r="N25" s="10" t="s">
        <v>51</v>
      </c>
      <c r="O25" s="4" t="str">
        <f t="shared" si="0"/>
        <v>Complete</v>
      </c>
      <c r="P25" s="11" t="s">
        <v>52</v>
      </c>
      <c r="Q25" s="11"/>
      <c r="R25" s="11" t="s">
        <v>53</v>
      </c>
    </row>
    <row r="26" spans="1:18" ht="67.95" customHeight="1">
      <c r="A26" s="4" t="s">
        <v>240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246</v>
      </c>
      <c r="H26" s="9" t="s">
        <v>247</v>
      </c>
      <c r="I26" s="9" t="s">
        <v>248</v>
      </c>
      <c r="J26" s="9" t="s">
        <v>249</v>
      </c>
      <c r="K26" s="9" t="s">
        <v>250</v>
      </c>
      <c r="L26" s="10" t="s">
        <v>61</v>
      </c>
      <c r="M26" s="10" t="s">
        <v>145</v>
      </c>
      <c r="N26" s="10" t="s">
        <v>51</v>
      </c>
      <c r="O26" s="4" t="str">
        <f t="shared" si="0"/>
        <v>Complete</v>
      </c>
      <c r="P26" s="11" t="s">
        <v>52</v>
      </c>
      <c r="Q26" s="11"/>
      <c r="R26" s="11" t="s">
        <v>53</v>
      </c>
    </row>
    <row r="27" spans="1:18" ht="67.95" customHeight="1">
      <c r="A27" s="4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9" t="s">
        <v>258</v>
      </c>
      <c r="I27" s="9" t="s">
        <v>259</v>
      </c>
      <c r="J27" s="9" t="s">
        <v>260</v>
      </c>
      <c r="K27" s="9" t="s">
        <v>261</v>
      </c>
      <c r="L27" s="10" t="s">
        <v>61</v>
      </c>
      <c r="M27" s="10" t="s">
        <v>262</v>
      </c>
      <c r="N27" s="10" t="s">
        <v>51</v>
      </c>
      <c r="O27" s="4" t="str">
        <f t="shared" si="0"/>
        <v>Complete</v>
      </c>
      <c r="P27" s="11" t="s">
        <v>52</v>
      </c>
      <c r="Q27" s="11"/>
      <c r="R27" s="11" t="s">
        <v>53</v>
      </c>
    </row>
    <row r="28" spans="1:18" ht="67.95" customHeight="1">
      <c r="A28" s="4" t="s">
        <v>263</v>
      </c>
      <c r="B28" s="4" t="s">
        <v>264</v>
      </c>
      <c r="C28" s="4" t="s">
        <v>265</v>
      </c>
      <c r="D28" s="4" t="s">
        <v>266</v>
      </c>
      <c r="E28" s="4" t="s">
        <v>267</v>
      </c>
      <c r="F28" s="4" t="s">
        <v>268</v>
      </c>
      <c r="G28" s="4" t="s">
        <v>269</v>
      </c>
      <c r="H28" s="9" t="s">
        <v>270</v>
      </c>
      <c r="I28" s="9" t="s">
        <v>271</v>
      </c>
      <c r="J28" s="9" t="s">
        <v>272</v>
      </c>
      <c r="K28" s="9" t="s">
        <v>273</v>
      </c>
      <c r="L28" s="10" t="s">
        <v>49</v>
      </c>
      <c r="M28" s="10" t="s">
        <v>274</v>
      </c>
      <c r="N28" s="10" t="s">
        <v>51</v>
      </c>
      <c r="O28" s="4" t="str">
        <f t="shared" si="0"/>
        <v>Complete</v>
      </c>
      <c r="P28" s="11" t="s">
        <v>52</v>
      </c>
      <c r="Q28" s="11"/>
      <c r="R28" s="11" t="s">
        <v>53</v>
      </c>
    </row>
    <row r="29" spans="1:18" ht="67.95" customHeight="1">
      <c r="A29" s="4" t="s">
        <v>275</v>
      </c>
      <c r="B29" s="4" t="s">
        <v>276</v>
      </c>
      <c r="C29" s="4" t="s">
        <v>277</v>
      </c>
      <c r="D29" s="4" t="s">
        <v>278</v>
      </c>
      <c r="E29" s="4" t="s">
        <v>279</v>
      </c>
      <c r="F29" s="4" t="s">
        <v>280</v>
      </c>
      <c r="G29" s="4" t="s">
        <v>281</v>
      </c>
      <c r="H29" s="9" t="s">
        <v>282</v>
      </c>
      <c r="I29" s="9" t="s">
        <v>283</v>
      </c>
      <c r="J29" s="9" t="s">
        <v>284</v>
      </c>
      <c r="K29" s="9"/>
      <c r="L29" s="10" t="s">
        <v>49</v>
      </c>
      <c r="M29" s="10" t="s">
        <v>274</v>
      </c>
      <c r="N29" s="10" t="s">
        <v>51</v>
      </c>
      <c r="O29" s="4" t="str">
        <f t="shared" si="0"/>
        <v>Complete</v>
      </c>
      <c r="P29" s="11" t="s">
        <v>52</v>
      </c>
      <c r="Q29" s="11"/>
      <c r="R29" s="11" t="s">
        <v>62</v>
      </c>
    </row>
    <row r="30" spans="1:18" ht="67.95" customHeight="1">
      <c r="A30" s="4" t="s">
        <v>285</v>
      </c>
      <c r="B30" s="4" t="s">
        <v>286</v>
      </c>
      <c r="C30" s="4" t="s">
        <v>287</v>
      </c>
      <c r="D30" s="4" t="s">
        <v>288</v>
      </c>
      <c r="E30" s="4" t="s">
        <v>289</v>
      </c>
      <c r="F30" s="4" t="s">
        <v>290</v>
      </c>
      <c r="G30" s="4" t="s">
        <v>291</v>
      </c>
      <c r="H30" s="9" t="s">
        <v>292</v>
      </c>
      <c r="I30" s="9" t="s">
        <v>293</v>
      </c>
      <c r="J30" s="9" t="s">
        <v>294</v>
      </c>
      <c r="K30" s="9" t="s">
        <v>295</v>
      </c>
      <c r="L30" s="10" t="s">
        <v>49</v>
      </c>
      <c r="M30" s="10" t="s">
        <v>274</v>
      </c>
      <c r="N30" s="10" t="s">
        <v>51</v>
      </c>
      <c r="O30" s="4" t="str">
        <f t="shared" si="0"/>
        <v>Complete</v>
      </c>
      <c r="P30" s="11" t="s">
        <v>52</v>
      </c>
      <c r="Q30" s="11"/>
      <c r="R30" s="11" t="s">
        <v>53</v>
      </c>
    </row>
    <row r="31" spans="1:18" ht="67.95" customHeight="1">
      <c r="A31" s="4" t="s">
        <v>296</v>
      </c>
      <c r="B31" s="4" t="s">
        <v>297</v>
      </c>
      <c r="C31" s="4" t="s">
        <v>298</v>
      </c>
      <c r="D31" s="4" t="s">
        <v>299</v>
      </c>
      <c r="E31" s="4" t="s">
        <v>300</v>
      </c>
      <c r="F31" s="4" t="s">
        <v>301</v>
      </c>
      <c r="G31" s="4" t="s">
        <v>302</v>
      </c>
      <c r="H31" s="9" t="s">
        <v>303</v>
      </c>
      <c r="I31" s="9" t="s">
        <v>304</v>
      </c>
      <c r="J31" s="9" t="s">
        <v>305</v>
      </c>
      <c r="K31" s="9"/>
      <c r="L31" s="10" t="s">
        <v>61</v>
      </c>
      <c r="M31" s="10" t="s">
        <v>306</v>
      </c>
      <c r="N31" s="10" t="s">
        <v>51</v>
      </c>
      <c r="O31" s="4" t="str">
        <f t="shared" si="0"/>
        <v>Complete</v>
      </c>
      <c r="P31" s="11" t="s">
        <v>52</v>
      </c>
      <c r="Q31" s="11"/>
      <c r="R31" s="11" t="s">
        <v>62</v>
      </c>
    </row>
    <row r="32" spans="1:18" ht="67.95" customHeight="1">
      <c r="A32" s="4" t="s">
        <v>307</v>
      </c>
      <c r="B32" s="4" t="s">
        <v>308</v>
      </c>
      <c r="C32" s="4" t="s">
        <v>309</v>
      </c>
      <c r="D32" s="4" t="s">
        <v>310</v>
      </c>
      <c r="E32" s="4" t="s">
        <v>311</v>
      </c>
      <c r="F32" s="4" t="s">
        <v>312</v>
      </c>
      <c r="G32" s="4" t="s">
        <v>313</v>
      </c>
      <c r="H32" s="9" t="s">
        <v>314</v>
      </c>
      <c r="I32" s="9" t="s">
        <v>315</v>
      </c>
      <c r="J32" s="9" t="s">
        <v>316</v>
      </c>
      <c r="K32" s="9" t="s">
        <v>317</v>
      </c>
      <c r="L32" s="10" t="s">
        <v>61</v>
      </c>
      <c r="M32" s="10" t="s">
        <v>318</v>
      </c>
      <c r="N32" s="10" t="s">
        <v>51</v>
      </c>
      <c r="O32" s="4" t="str">
        <f t="shared" si="0"/>
        <v>Complete</v>
      </c>
      <c r="P32" s="11" t="s">
        <v>52</v>
      </c>
      <c r="Q32" s="11"/>
      <c r="R32" s="11" t="s">
        <v>53</v>
      </c>
    </row>
    <row r="33" spans="1:18" ht="67.95" customHeight="1">
      <c r="A33" s="4" t="s">
        <v>319</v>
      </c>
      <c r="B33" s="4" t="s">
        <v>320</v>
      </c>
      <c r="C33" s="4" t="s">
        <v>321</v>
      </c>
      <c r="D33" s="4" t="s">
        <v>322</v>
      </c>
      <c r="E33" s="4" t="s">
        <v>323</v>
      </c>
      <c r="F33" s="4" t="s">
        <v>324</v>
      </c>
      <c r="G33" s="4" t="s">
        <v>325</v>
      </c>
      <c r="H33" s="9" t="s">
        <v>326</v>
      </c>
      <c r="I33" s="9" t="s">
        <v>327</v>
      </c>
      <c r="J33" s="9" t="s">
        <v>328</v>
      </c>
      <c r="K33" s="9" t="s">
        <v>329</v>
      </c>
      <c r="L33" s="10" t="s">
        <v>49</v>
      </c>
      <c r="M33" s="10" t="s">
        <v>330</v>
      </c>
      <c r="N33" s="10" t="s">
        <v>51</v>
      </c>
      <c r="O33" s="4" t="str">
        <f t="shared" si="0"/>
        <v>Complete</v>
      </c>
      <c r="P33" s="11" t="s">
        <v>52</v>
      </c>
      <c r="Q33" s="11"/>
      <c r="R33" s="11" t="s">
        <v>53</v>
      </c>
    </row>
    <row r="34" spans="1:18" ht="67.95" customHeight="1">
      <c r="A34" s="4" t="s">
        <v>331</v>
      </c>
      <c r="B34" s="4" t="s">
        <v>332</v>
      </c>
      <c r="C34" s="4" t="s">
        <v>333</v>
      </c>
      <c r="D34" s="4" t="s">
        <v>334</v>
      </c>
      <c r="E34" s="4" t="s">
        <v>335</v>
      </c>
      <c r="F34" s="4" t="s">
        <v>336</v>
      </c>
      <c r="G34" s="4" t="s">
        <v>337</v>
      </c>
      <c r="H34" s="9" t="s">
        <v>338</v>
      </c>
      <c r="I34" s="9" t="s">
        <v>339</v>
      </c>
      <c r="J34" s="9" t="s">
        <v>340</v>
      </c>
      <c r="K34" s="9" t="s">
        <v>329</v>
      </c>
      <c r="L34" s="10" t="s">
        <v>49</v>
      </c>
      <c r="M34" s="10" t="s">
        <v>341</v>
      </c>
      <c r="N34" s="10" t="s">
        <v>51</v>
      </c>
      <c r="O34" s="4" t="str">
        <f t="shared" si="0"/>
        <v>Complete</v>
      </c>
      <c r="P34" s="11" t="s">
        <v>52</v>
      </c>
      <c r="Q34" s="11"/>
      <c r="R34" s="11" t="s">
        <v>53</v>
      </c>
    </row>
    <row r="35" spans="1:18" ht="67.95" customHeight="1">
      <c r="A35" s="4" t="s">
        <v>342</v>
      </c>
      <c r="B35" s="4" t="s">
        <v>343</v>
      </c>
      <c r="C35" s="4" t="s">
        <v>344</v>
      </c>
      <c r="D35" s="4" t="s">
        <v>345</v>
      </c>
      <c r="E35" s="4" t="s">
        <v>346</v>
      </c>
      <c r="F35" s="4" t="s">
        <v>347</v>
      </c>
      <c r="G35" s="4" t="s">
        <v>348</v>
      </c>
      <c r="H35" s="9" t="s">
        <v>349</v>
      </c>
      <c r="I35" s="9" t="s">
        <v>350</v>
      </c>
      <c r="J35" s="9" t="s">
        <v>351</v>
      </c>
      <c r="K35" s="9" t="s">
        <v>352</v>
      </c>
      <c r="L35" s="10" t="s">
        <v>61</v>
      </c>
      <c r="M35" s="10" t="s">
        <v>353</v>
      </c>
      <c r="N35" s="10" t="s">
        <v>51</v>
      </c>
      <c r="O35" s="4" t="str">
        <f t="shared" si="0"/>
        <v>Complete</v>
      </c>
      <c r="P35" s="11" t="s">
        <v>52</v>
      </c>
      <c r="Q35" s="11"/>
      <c r="R35" s="11" t="s">
        <v>53</v>
      </c>
    </row>
    <row r="36" spans="1:18" ht="67.95" customHeight="1">
      <c r="A36" s="4" t="s">
        <v>354</v>
      </c>
      <c r="B36" s="4" t="s">
        <v>355</v>
      </c>
      <c r="C36" s="4" t="s">
        <v>356</v>
      </c>
      <c r="D36" s="4" t="s">
        <v>357</v>
      </c>
      <c r="E36" s="4" t="s">
        <v>358</v>
      </c>
      <c r="F36" s="4" t="s">
        <v>359</v>
      </c>
      <c r="G36" s="4" t="s">
        <v>360</v>
      </c>
      <c r="H36" s="9" t="s">
        <v>361</v>
      </c>
      <c r="I36" s="9" t="s">
        <v>362</v>
      </c>
      <c r="J36" s="9" t="s">
        <v>363</v>
      </c>
      <c r="K36" s="9" t="s">
        <v>329</v>
      </c>
      <c r="L36" s="10" t="s">
        <v>49</v>
      </c>
      <c r="M36" s="10" t="s">
        <v>364</v>
      </c>
      <c r="N36" s="10" t="s">
        <v>51</v>
      </c>
      <c r="O36" s="4" t="str">
        <f t="shared" si="0"/>
        <v>Complete</v>
      </c>
      <c r="P36" s="11" t="s">
        <v>52</v>
      </c>
      <c r="Q36" s="11"/>
      <c r="R36" s="11" t="s">
        <v>53</v>
      </c>
    </row>
    <row r="37" spans="1:18" ht="67.95" customHeight="1">
      <c r="A37" s="4" t="s">
        <v>365</v>
      </c>
      <c r="B37" s="4" t="s">
        <v>366</v>
      </c>
      <c r="C37" s="4" t="s">
        <v>367</v>
      </c>
      <c r="D37" s="4" t="s">
        <v>368</v>
      </c>
      <c r="E37" s="4" t="s">
        <v>369</v>
      </c>
      <c r="F37" s="4" t="s">
        <v>370</v>
      </c>
      <c r="G37" s="4" t="s">
        <v>371</v>
      </c>
      <c r="H37" s="9" t="s">
        <v>372</v>
      </c>
      <c r="I37" s="9" t="s">
        <v>373</v>
      </c>
      <c r="J37" s="9" t="s">
        <v>374</v>
      </c>
      <c r="K37" s="9" t="s">
        <v>375</v>
      </c>
      <c r="L37" s="10" t="s">
        <v>61</v>
      </c>
      <c r="M37" s="10" t="s">
        <v>376</v>
      </c>
      <c r="N37" s="10" t="s">
        <v>51</v>
      </c>
      <c r="O37" s="4" t="str">
        <f t="shared" si="0"/>
        <v>Complete</v>
      </c>
      <c r="P37" s="11" t="s">
        <v>52</v>
      </c>
      <c r="Q37" s="11"/>
      <c r="R37" s="11" t="s">
        <v>53</v>
      </c>
    </row>
    <row r="38" spans="1:18" ht="67.95" customHeight="1">
      <c r="A38" s="4" t="s">
        <v>377</v>
      </c>
      <c r="B38" s="4" t="s">
        <v>378</v>
      </c>
      <c r="C38" s="4" t="s">
        <v>379</v>
      </c>
      <c r="D38" s="4" t="s">
        <v>380</v>
      </c>
      <c r="E38" s="4" t="s">
        <v>381</v>
      </c>
      <c r="F38" s="4" t="s">
        <v>382</v>
      </c>
      <c r="G38" s="4" t="s">
        <v>383</v>
      </c>
      <c r="H38" s="9" t="s">
        <v>384</v>
      </c>
      <c r="I38" s="9" t="s">
        <v>385</v>
      </c>
      <c r="J38" s="9" t="s">
        <v>386</v>
      </c>
      <c r="K38" s="9" t="s">
        <v>387</v>
      </c>
      <c r="L38" s="10" t="s">
        <v>49</v>
      </c>
      <c r="M38" s="10" t="s">
        <v>388</v>
      </c>
      <c r="N38" s="10" t="s">
        <v>51</v>
      </c>
      <c r="O38" s="4" t="str">
        <f t="shared" si="0"/>
        <v>Complete</v>
      </c>
      <c r="P38" s="11" t="s">
        <v>52</v>
      </c>
      <c r="Q38" s="11"/>
      <c r="R38" s="11" t="s">
        <v>53</v>
      </c>
    </row>
    <row r="39" spans="1:18" ht="67.95" customHeight="1">
      <c r="A39" s="4" t="s">
        <v>389</v>
      </c>
      <c r="B39" s="4" t="s">
        <v>390</v>
      </c>
      <c r="C39" s="4" t="s">
        <v>391</v>
      </c>
      <c r="D39" s="4" t="s">
        <v>392</v>
      </c>
      <c r="E39" s="4" t="s">
        <v>393</v>
      </c>
      <c r="F39" s="4" t="s">
        <v>394</v>
      </c>
      <c r="G39" s="4" t="s">
        <v>395</v>
      </c>
      <c r="H39" s="9" t="s">
        <v>396</v>
      </c>
      <c r="I39" s="9" t="s">
        <v>397</v>
      </c>
      <c r="J39" s="9" t="s">
        <v>398</v>
      </c>
      <c r="K39" s="9" t="s">
        <v>352</v>
      </c>
      <c r="L39" s="10" t="s">
        <v>49</v>
      </c>
      <c r="M39" s="10" t="s">
        <v>218</v>
      </c>
      <c r="N39" s="10" t="s">
        <v>51</v>
      </c>
      <c r="O39" s="4" t="str">
        <f t="shared" si="0"/>
        <v>Complete</v>
      </c>
      <c r="P39" s="11" t="s">
        <v>52</v>
      </c>
      <c r="Q39" s="11"/>
      <c r="R39" s="11" t="s">
        <v>53</v>
      </c>
    </row>
    <row r="40" spans="1:18" ht="67.95" customHeight="1">
      <c r="A40" s="4" t="s">
        <v>399</v>
      </c>
      <c r="B40" s="4" t="s">
        <v>400</v>
      </c>
      <c r="C40" s="4" t="s">
        <v>401</v>
      </c>
      <c r="D40" s="4" t="s">
        <v>402</v>
      </c>
      <c r="E40" s="4" t="s">
        <v>403</v>
      </c>
      <c r="F40" s="4" t="s">
        <v>404</v>
      </c>
      <c r="G40" s="4" t="s">
        <v>405</v>
      </c>
      <c r="H40" s="9" t="s">
        <v>406</v>
      </c>
      <c r="I40" s="9" t="s">
        <v>407</v>
      </c>
      <c r="J40" s="9" t="s">
        <v>408</v>
      </c>
      <c r="K40" s="9" t="s">
        <v>409</v>
      </c>
      <c r="L40" s="10" t="s">
        <v>49</v>
      </c>
      <c r="M40" s="10" t="s">
        <v>410</v>
      </c>
      <c r="N40" s="10" t="s">
        <v>51</v>
      </c>
      <c r="O40" s="4" t="str">
        <f t="shared" si="0"/>
        <v>Complete</v>
      </c>
      <c r="P40" s="11" t="s">
        <v>52</v>
      </c>
      <c r="Q40" s="11"/>
      <c r="R40" s="11" t="s">
        <v>53</v>
      </c>
    </row>
  </sheetData>
  <mergeCells count="3">
    <mergeCell ref="A1:R1"/>
    <mergeCell ref="A2:R2"/>
    <mergeCell ref="A4:R4"/>
  </mergeCells>
  <conditionalFormatting sqref="L6:L40">
    <cfRule type="containsText" dxfId="17" priority="1" operator="containsText" text="Complete"/>
    <cfRule type="containsText" dxfId="16" priority="2" operator="containsText" text="Review"/>
  </conditionalFormatting>
  <conditionalFormatting sqref="O6:O40">
    <cfRule type="containsText" dxfId="15" priority="3" operator="containsText" text="Complete"/>
    <cfRule type="containsText" dxfId="14" priority="4" operator="containsText" text="Review"/>
    <cfRule type="containsText" dxfId="13" priority="5" operator="containsText" text="Complete"/>
    <cfRule type="containsText" dxfId="12" priority="6" operator="containsText" text="Review"/>
    <cfRule type="containsText" dxfId="11" priority="7" operator="containsText" text="Complete"/>
    <cfRule type="containsText" dxfId="10" priority="8" operator="containsText" text="Review"/>
    <cfRule type="containsText" dxfId="9" priority="9" operator="containsText" text="Complete"/>
    <cfRule type="containsText" dxfId="8" priority="10" operator="containsText" text="Review"/>
  </conditionalFormatting>
  <dataValidations count="3">
    <dataValidation type="list" sqref="I6:I40" xr:uid="{00000000-0002-0000-0100-000000000000}">
      <formula1>"Critical,High,Medium,Low"</formula1>
    </dataValidation>
    <dataValidation type="list" sqref="K6:K40 N6:N40" xr:uid="{00000000-0002-0000-0100-000001000000}">
      <formula1>"Baseline,Approved,In Review,Change Requested,Retired"</formula1>
    </dataValidation>
    <dataValidation type="list" sqref="P6:P40" xr:uid="{00000000-0002-0000-0100-000002000000}">
      <formula1>"Not Run,Passed,Failed,Blocked,Not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showGridLines="0" workbookViewId="0"/>
  </sheetViews>
  <sheetFormatPr defaultRowHeight="13.8"/>
  <cols>
    <col min="1" max="1" width="14" customWidth="1"/>
    <col min="2" max="2" width="50" customWidth="1"/>
    <col min="3" max="3" width="34" customWidth="1"/>
  </cols>
  <sheetData>
    <row r="1" spans="1:3" ht="21.6" customHeight="1">
      <c r="A1" s="40" t="s">
        <v>411</v>
      </c>
      <c r="B1" s="40"/>
      <c r="C1" s="40"/>
    </row>
    <row r="2" spans="1:3" ht="15" customHeight="1">
      <c r="A2" s="17" t="s">
        <v>412</v>
      </c>
      <c r="B2" s="17"/>
      <c r="C2" s="17"/>
    </row>
    <row r="3" spans="1:3" ht="15" customHeight="1">
      <c r="A3" s="1"/>
      <c r="B3" s="1"/>
      <c r="C3" s="1"/>
    </row>
    <row r="4" spans="1:3" ht="15" customHeight="1">
      <c r="A4" s="2" t="s">
        <v>413</v>
      </c>
      <c r="B4" s="2" t="s">
        <v>414</v>
      </c>
      <c r="C4" s="2" t="s">
        <v>415</v>
      </c>
    </row>
    <row r="5" spans="1:3" ht="15" customHeight="1">
      <c r="A5" s="3" t="s">
        <v>40</v>
      </c>
      <c r="B5" s="3" t="s">
        <v>416</v>
      </c>
      <c r="C5" s="3" t="s">
        <v>417</v>
      </c>
    </row>
    <row r="6" spans="1:3" ht="15" customHeight="1">
      <c r="A6" s="3" t="s">
        <v>148</v>
      </c>
      <c r="B6" s="3" t="s">
        <v>418</v>
      </c>
      <c r="C6" s="3" t="s">
        <v>417</v>
      </c>
    </row>
    <row r="7" spans="1:3" ht="15" customHeight="1">
      <c r="A7" s="3" t="s">
        <v>419</v>
      </c>
      <c r="B7" s="3" t="s">
        <v>420</v>
      </c>
      <c r="C7" s="3" t="s">
        <v>417</v>
      </c>
    </row>
    <row r="8" spans="1:3" ht="15" customHeight="1">
      <c r="A8" s="3" t="s">
        <v>421</v>
      </c>
      <c r="B8" s="3" t="s">
        <v>422</v>
      </c>
      <c r="C8" s="3" t="s">
        <v>417</v>
      </c>
    </row>
    <row r="9" spans="1:3" ht="15" customHeight="1">
      <c r="A9" s="3" t="s">
        <v>423</v>
      </c>
      <c r="B9" s="3" t="s">
        <v>424</v>
      </c>
      <c r="C9" s="3" t="s">
        <v>417</v>
      </c>
    </row>
    <row r="10" spans="1:3" ht="15" customHeight="1">
      <c r="A10" s="3" t="s">
        <v>425</v>
      </c>
      <c r="B10" s="3" t="s">
        <v>426</v>
      </c>
      <c r="C10" s="3" t="s">
        <v>417</v>
      </c>
    </row>
    <row r="11" spans="1:3" ht="15" customHeight="1">
      <c r="A11" s="3" t="s">
        <v>427</v>
      </c>
      <c r="B11" s="3" t="s">
        <v>428</v>
      </c>
      <c r="C11" s="3" t="s">
        <v>429</v>
      </c>
    </row>
    <row r="12" spans="1:3" ht="15" customHeight="1">
      <c r="A12" s="3" t="s">
        <v>430</v>
      </c>
      <c r="B12" s="3" t="s">
        <v>431</v>
      </c>
      <c r="C12" s="3" t="s">
        <v>429</v>
      </c>
    </row>
    <row r="13" spans="1:3" ht="15" customHeight="1">
      <c r="A13" s="3" t="s">
        <v>432</v>
      </c>
      <c r="B13" s="3" t="s">
        <v>433</v>
      </c>
      <c r="C13" s="3" t="s">
        <v>429</v>
      </c>
    </row>
    <row r="14" spans="1:3" ht="15" customHeight="1">
      <c r="A14" s="3" t="s">
        <v>434</v>
      </c>
      <c r="B14" s="3" t="s">
        <v>435</v>
      </c>
      <c r="C14" s="3" t="s">
        <v>429</v>
      </c>
    </row>
    <row r="15" spans="1:3" ht="15" customHeight="1">
      <c r="A15" s="3" t="s">
        <v>436</v>
      </c>
      <c r="B15" s="3" t="s">
        <v>437</v>
      </c>
      <c r="C15" s="3" t="s">
        <v>429</v>
      </c>
    </row>
    <row r="16" spans="1:3" ht="15" customHeight="1">
      <c r="A16" s="3" t="s">
        <v>265</v>
      </c>
      <c r="B16" s="3" t="s">
        <v>438</v>
      </c>
      <c r="C16" s="3" t="s">
        <v>439</v>
      </c>
    </row>
    <row r="17" spans="1:3" ht="15" customHeight="1">
      <c r="A17" s="3" t="s">
        <v>277</v>
      </c>
      <c r="B17" s="3" t="s">
        <v>440</v>
      </c>
      <c r="C17" s="3" t="s">
        <v>439</v>
      </c>
    </row>
    <row r="18" spans="1:3" ht="15" customHeight="1">
      <c r="A18" s="3" t="s">
        <v>287</v>
      </c>
      <c r="B18" s="3" t="s">
        <v>441</v>
      </c>
      <c r="C18" s="3" t="s">
        <v>439</v>
      </c>
    </row>
    <row r="19" spans="1:3" ht="15" customHeight="1">
      <c r="A19" s="3" t="s">
        <v>442</v>
      </c>
      <c r="B19" s="3" t="s">
        <v>443</v>
      </c>
      <c r="C19" s="3" t="s">
        <v>439</v>
      </c>
    </row>
    <row r="20" spans="1:3" ht="15" customHeight="1">
      <c r="A20" s="3" t="s">
        <v>298</v>
      </c>
      <c r="B20" s="3" t="s">
        <v>444</v>
      </c>
      <c r="C20" s="3" t="s">
        <v>439</v>
      </c>
    </row>
    <row r="21" spans="1:3" ht="15" customHeight="1">
      <c r="A21" s="3" t="s">
        <v>445</v>
      </c>
      <c r="B21" s="3" t="s">
        <v>446</v>
      </c>
      <c r="C21" s="3" t="s">
        <v>447</v>
      </c>
    </row>
    <row r="22" spans="1:3" ht="15" customHeight="1">
      <c r="A22" s="3" t="s">
        <v>448</v>
      </c>
      <c r="B22" s="3" t="s">
        <v>449</v>
      </c>
      <c r="C22" s="3" t="s">
        <v>447</v>
      </c>
    </row>
    <row r="23" spans="1:3" ht="15" customHeight="1">
      <c r="A23" s="3" t="s">
        <v>450</v>
      </c>
      <c r="B23" s="3" t="s">
        <v>451</v>
      </c>
      <c r="C23" s="3" t="s">
        <v>447</v>
      </c>
    </row>
    <row r="24" spans="1:3" ht="15" customHeight="1">
      <c r="A24" s="3" t="s">
        <v>452</v>
      </c>
      <c r="B24" s="3" t="s">
        <v>453</v>
      </c>
      <c r="C24" s="3" t="s">
        <v>447</v>
      </c>
    </row>
    <row r="25" spans="1:3" ht="15" customHeight="1">
      <c r="A25" s="3" t="s">
        <v>356</v>
      </c>
      <c r="B25" s="3" t="s">
        <v>454</v>
      </c>
      <c r="C25" s="3" t="s">
        <v>455</v>
      </c>
    </row>
    <row r="26" spans="1:3" ht="15" customHeight="1">
      <c r="A26" s="3" t="s">
        <v>367</v>
      </c>
      <c r="B26" s="3" t="s">
        <v>456</v>
      </c>
      <c r="C26" s="3" t="s">
        <v>455</v>
      </c>
    </row>
    <row r="27" spans="1:3" ht="15" customHeight="1">
      <c r="A27" s="3" t="s">
        <v>457</v>
      </c>
      <c r="B27" s="3" t="s">
        <v>458</v>
      </c>
      <c r="C27" s="3" t="s">
        <v>455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showGridLines="0" tabSelected="1" workbookViewId="0">
      <selection activeCell="A2" sqref="A2:C2"/>
    </sheetView>
  </sheetViews>
  <sheetFormatPr defaultRowHeight="13.8"/>
  <cols>
    <col min="1" max="1" width="14" customWidth="1"/>
    <col min="2" max="2" width="44" customWidth="1"/>
    <col min="3" max="3" width="48" customWidth="1"/>
  </cols>
  <sheetData>
    <row r="1" spans="1:3" ht="21.6" customHeight="1">
      <c r="A1" s="40" t="s">
        <v>459</v>
      </c>
      <c r="B1" s="40"/>
      <c r="C1" s="40"/>
    </row>
    <row r="2" spans="1:3" ht="15" customHeight="1">
      <c r="A2" s="17" t="s">
        <v>460</v>
      </c>
      <c r="B2" s="17"/>
      <c r="C2" s="17"/>
    </row>
    <row r="3" spans="1:3" ht="15" customHeight="1">
      <c r="A3" s="1"/>
      <c r="B3" s="1"/>
      <c r="C3" s="1"/>
    </row>
    <row r="4" spans="1:3" ht="15" customHeight="1">
      <c r="A4" s="2" t="s">
        <v>461</v>
      </c>
      <c r="B4" s="2" t="s">
        <v>462</v>
      </c>
      <c r="C4" s="2" t="s">
        <v>463</v>
      </c>
    </row>
    <row r="5" spans="1:3" ht="15" customHeight="1">
      <c r="A5" s="3" t="s">
        <v>464</v>
      </c>
      <c r="B5" s="3" t="s">
        <v>465</v>
      </c>
      <c r="C5" s="3" t="s">
        <v>466</v>
      </c>
    </row>
    <row r="6" spans="1:3" ht="15" customHeight="1">
      <c r="A6" s="3" t="s">
        <v>467</v>
      </c>
      <c r="B6" s="3" t="s">
        <v>468</v>
      </c>
      <c r="C6" s="3" t="s">
        <v>469</v>
      </c>
    </row>
    <row r="7" spans="1:3" ht="15" customHeight="1">
      <c r="A7" s="3" t="s">
        <v>470</v>
      </c>
      <c r="B7" s="3" t="s">
        <v>471</v>
      </c>
      <c r="C7" s="3" t="s">
        <v>472</v>
      </c>
    </row>
    <row r="8" spans="1:3" ht="15" customHeight="1">
      <c r="A8" s="3" t="s">
        <v>473</v>
      </c>
      <c r="B8" s="3" t="s">
        <v>474</v>
      </c>
      <c r="C8" s="3" t="s">
        <v>475</v>
      </c>
    </row>
    <row r="9" spans="1:3" ht="15" customHeight="1">
      <c r="A9" s="3" t="s">
        <v>476</v>
      </c>
      <c r="B9" s="3" t="s">
        <v>477</v>
      </c>
      <c r="C9" s="3" t="s">
        <v>478</v>
      </c>
    </row>
    <row r="10" spans="1:3" ht="15" customHeight="1">
      <c r="A10" s="3" t="s">
        <v>479</v>
      </c>
      <c r="B10" s="3" t="s">
        <v>480</v>
      </c>
      <c r="C10" s="3" t="s">
        <v>481</v>
      </c>
    </row>
    <row r="11" spans="1:3" ht="15" customHeight="1">
      <c r="A11" s="3" t="s">
        <v>482</v>
      </c>
      <c r="B11" s="3" t="s">
        <v>483</v>
      </c>
      <c r="C11" s="3" t="s">
        <v>484</v>
      </c>
    </row>
    <row r="12" spans="1:3" ht="15" customHeight="1">
      <c r="A12" s="3" t="s">
        <v>485</v>
      </c>
      <c r="B12" s="3" t="s">
        <v>486</v>
      </c>
      <c r="C12" s="3" t="s">
        <v>487</v>
      </c>
    </row>
    <row r="13" spans="1:3" ht="15" customHeight="1">
      <c r="A13" s="3" t="s">
        <v>488</v>
      </c>
      <c r="B13" s="3" t="s">
        <v>489</v>
      </c>
      <c r="C13" s="3" t="s">
        <v>490</v>
      </c>
    </row>
    <row r="14" spans="1:3" ht="15" customHeight="1">
      <c r="A14" s="3" t="s">
        <v>491</v>
      </c>
      <c r="B14" s="3" t="s">
        <v>492</v>
      </c>
      <c r="C14" s="3" t="s">
        <v>481</v>
      </c>
    </row>
    <row r="15" spans="1:3" ht="15" customHeight="1">
      <c r="A15" s="3" t="s">
        <v>493</v>
      </c>
      <c r="B15" s="3" t="s">
        <v>494</v>
      </c>
      <c r="C15" s="3" t="s">
        <v>495</v>
      </c>
    </row>
    <row r="16" spans="1:3" ht="15" customHeight="1">
      <c r="A16" s="3" t="s">
        <v>496</v>
      </c>
      <c r="B16" s="3" t="s">
        <v>497</v>
      </c>
      <c r="C16" s="3" t="s">
        <v>498</v>
      </c>
    </row>
    <row r="17" spans="1:3" ht="15" customHeight="1">
      <c r="A17" s="3" t="s">
        <v>499</v>
      </c>
      <c r="B17" s="3" t="s">
        <v>500</v>
      </c>
      <c r="C17" s="3" t="s">
        <v>481</v>
      </c>
    </row>
    <row r="18" spans="1:3" ht="15" customHeight="1">
      <c r="A18" s="3" t="s">
        <v>501</v>
      </c>
      <c r="B18" s="3" t="s">
        <v>502</v>
      </c>
      <c r="C18" s="3" t="s">
        <v>503</v>
      </c>
    </row>
    <row r="19" spans="1:3" ht="15" customHeight="1">
      <c r="A19" s="3" t="s">
        <v>504</v>
      </c>
      <c r="B19" s="3" t="s">
        <v>505</v>
      </c>
      <c r="C19" s="3" t="s">
        <v>481</v>
      </c>
    </row>
    <row r="20" spans="1:3" ht="15" customHeight="1">
      <c r="A20" s="3" t="s">
        <v>506</v>
      </c>
      <c r="B20" s="3" t="s">
        <v>507</v>
      </c>
      <c r="C20" s="3" t="s">
        <v>508</v>
      </c>
    </row>
    <row r="21" spans="1:3" ht="15" customHeight="1">
      <c r="A21" s="3" t="s">
        <v>509</v>
      </c>
      <c r="B21" s="3" t="s">
        <v>510</v>
      </c>
      <c r="C21" s="3" t="s">
        <v>511</v>
      </c>
    </row>
    <row r="22" spans="1:3" ht="15" customHeight="1">
      <c r="A22" s="3" t="s">
        <v>512</v>
      </c>
      <c r="B22" s="3" t="s">
        <v>513</v>
      </c>
      <c r="C22" s="3" t="s">
        <v>514</v>
      </c>
    </row>
    <row r="23" spans="1:3" ht="15" customHeight="1">
      <c r="A23" s="3" t="s">
        <v>515</v>
      </c>
      <c r="B23" s="3" t="s">
        <v>516</v>
      </c>
      <c r="C23" s="3" t="s">
        <v>517</v>
      </c>
    </row>
    <row r="24" spans="1:3" ht="15" customHeight="1">
      <c r="A24" s="3" t="s">
        <v>518</v>
      </c>
      <c r="B24" s="3" t="s">
        <v>519</v>
      </c>
      <c r="C24" s="3" t="s">
        <v>520</v>
      </c>
    </row>
    <row r="25" spans="1:3" ht="15" customHeight="1">
      <c r="A25" s="3" t="s">
        <v>521</v>
      </c>
      <c r="B25" s="3" t="s">
        <v>522</v>
      </c>
      <c r="C25" s="3" t="s">
        <v>523</v>
      </c>
    </row>
    <row r="26" spans="1:3" ht="15" customHeight="1">
      <c r="A26" s="3" t="s">
        <v>524</v>
      </c>
      <c r="B26" s="3" t="s">
        <v>525</v>
      </c>
      <c r="C26" s="3" t="s">
        <v>481</v>
      </c>
    </row>
    <row r="27" spans="1:3" ht="15" customHeight="1">
      <c r="A27" s="3" t="s">
        <v>526</v>
      </c>
      <c r="B27" s="3" t="s">
        <v>527</v>
      </c>
      <c r="C27" s="3" t="s">
        <v>528</v>
      </c>
    </row>
    <row r="28" spans="1:3" ht="15" customHeight="1">
      <c r="A28" s="3" t="s">
        <v>529</v>
      </c>
      <c r="B28" s="3" t="s">
        <v>530</v>
      </c>
      <c r="C28" s="3" t="s">
        <v>531</v>
      </c>
    </row>
    <row r="29" spans="1:3" ht="15" customHeight="1">
      <c r="A29" s="3" t="s">
        <v>532</v>
      </c>
      <c r="B29" s="3" t="s">
        <v>533</v>
      </c>
      <c r="C29" s="3" t="s">
        <v>534</v>
      </c>
    </row>
    <row r="30" spans="1:3" ht="15" customHeight="1">
      <c r="A30" s="3" t="s">
        <v>535</v>
      </c>
      <c r="B30" s="3" t="s">
        <v>536</v>
      </c>
      <c r="C30" s="3" t="s">
        <v>508</v>
      </c>
    </row>
    <row r="31" spans="1:3" ht="15" customHeight="1">
      <c r="A31" s="3" t="s">
        <v>537</v>
      </c>
      <c r="B31" s="3" t="s">
        <v>538</v>
      </c>
      <c r="C31" s="3" t="s">
        <v>539</v>
      </c>
    </row>
    <row r="32" spans="1:3" ht="15" customHeight="1">
      <c r="A32" s="3" t="s">
        <v>540</v>
      </c>
      <c r="B32" s="3" t="s">
        <v>541</v>
      </c>
      <c r="C32" s="3" t="s">
        <v>542</v>
      </c>
    </row>
    <row r="33" spans="1:3" ht="15" customHeight="1">
      <c r="A33" s="3" t="s">
        <v>543</v>
      </c>
      <c r="B33" s="3" t="s">
        <v>544</v>
      </c>
      <c r="C33" s="3" t="s">
        <v>545</v>
      </c>
    </row>
    <row r="34" spans="1:3" ht="15" customHeight="1">
      <c r="A34" s="3" t="s">
        <v>546</v>
      </c>
      <c r="B34" s="3" t="s">
        <v>547</v>
      </c>
      <c r="C34" s="3" t="s">
        <v>548</v>
      </c>
    </row>
    <row r="35" spans="1:3" ht="15" customHeight="1">
      <c r="A35" s="3" t="s">
        <v>549</v>
      </c>
      <c r="B35" s="3" t="s">
        <v>550</v>
      </c>
      <c r="C35" s="3" t="s">
        <v>551</v>
      </c>
    </row>
    <row r="36" spans="1:3" ht="15" customHeight="1">
      <c r="A36" s="3" t="s">
        <v>552</v>
      </c>
      <c r="B36" s="3" t="s">
        <v>553</v>
      </c>
      <c r="C36" s="3" t="s">
        <v>554</v>
      </c>
    </row>
    <row r="37" spans="1:3" ht="15" customHeight="1">
      <c r="A37" s="3" t="s">
        <v>555</v>
      </c>
      <c r="B37" s="3" t="s">
        <v>556</v>
      </c>
      <c r="C37" s="3" t="s">
        <v>481</v>
      </c>
    </row>
    <row r="38" spans="1:3" ht="15" customHeight="1">
      <c r="A38" s="3" t="s">
        <v>557</v>
      </c>
      <c r="B38" s="3" t="s">
        <v>558</v>
      </c>
      <c r="C38" s="3" t="s">
        <v>559</v>
      </c>
    </row>
    <row r="39" spans="1:3" ht="15" customHeight="1">
      <c r="A39" s="3" t="s">
        <v>560</v>
      </c>
      <c r="B39" s="3" t="s">
        <v>561</v>
      </c>
      <c r="C39" s="3" t="s">
        <v>481</v>
      </c>
    </row>
    <row r="40" spans="1:3" ht="15" customHeight="1">
      <c r="A40" s="3" t="s">
        <v>562</v>
      </c>
      <c r="B40" s="3" t="s">
        <v>563</v>
      </c>
      <c r="C40" s="3" t="s">
        <v>564</v>
      </c>
    </row>
    <row r="41" spans="1:3" ht="15" customHeight="1">
      <c r="A41" s="3" t="s">
        <v>565</v>
      </c>
      <c r="B41" s="3" t="s">
        <v>566</v>
      </c>
      <c r="C41" s="3" t="s">
        <v>567</v>
      </c>
    </row>
    <row r="42" spans="1:3" ht="15" customHeight="1">
      <c r="A42" s="3" t="s">
        <v>568</v>
      </c>
      <c r="B42" s="3" t="s">
        <v>569</v>
      </c>
      <c r="C42" s="3" t="s">
        <v>570</v>
      </c>
    </row>
    <row r="43" spans="1:3" ht="15" customHeight="1">
      <c r="A43" s="3" t="s">
        <v>571</v>
      </c>
      <c r="B43" s="3" t="s">
        <v>572</v>
      </c>
      <c r="C43" s="3" t="s">
        <v>573</v>
      </c>
    </row>
    <row r="44" spans="1:3" ht="15" customHeight="1">
      <c r="A44" s="3" t="s">
        <v>574</v>
      </c>
      <c r="B44" s="3" t="s">
        <v>575</v>
      </c>
      <c r="C44" s="3" t="s">
        <v>481</v>
      </c>
    </row>
    <row r="45" spans="1:3" ht="15" customHeight="1">
      <c r="A45" s="3" t="s">
        <v>576</v>
      </c>
      <c r="B45" s="3" t="s">
        <v>577</v>
      </c>
      <c r="C45" s="3" t="s">
        <v>534</v>
      </c>
    </row>
    <row r="46" spans="1:3" ht="15" customHeight="1">
      <c r="A46" s="3" t="s">
        <v>578</v>
      </c>
      <c r="B46" s="3" t="s">
        <v>579</v>
      </c>
      <c r="C46" s="3" t="s">
        <v>580</v>
      </c>
    </row>
    <row r="47" spans="1:3" ht="15" customHeight="1">
      <c r="A47" s="3" t="s">
        <v>581</v>
      </c>
      <c r="B47" s="3" t="s">
        <v>582</v>
      </c>
      <c r="C47" s="3" t="s">
        <v>583</v>
      </c>
    </row>
    <row r="48" spans="1:3" ht="15" customHeight="1">
      <c r="A48" s="3" t="s">
        <v>584</v>
      </c>
      <c r="B48" s="3" t="s">
        <v>585</v>
      </c>
      <c r="C48" s="3" t="s">
        <v>503</v>
      </c>
    </row>
    <row r="49" spans="1:3" ht="15" customHeight="1">
      <c r="A49" s="3" t="s">
        <v>586</v>
      </c>
      <c r="B49" s="3" t="s">
        <v>587</v>
      </c>
      <c r="C49" s="3" t="s">
        <v>588</v>
      </c>
    </row>
    <row r="50" spans="1:3" ht="15" customHeight="1">
      <c r="A50" s="3" t="s">
        <v>589</v>
      </c>
      <c r="B50" s="3" t="s">
        <v>590</v>
      </c>
      <c r="C50" s="3" t="s">
        <v>503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showGridLines="0" workbookViewId="0"/>
  </sheetViews>
  <sheetFormatPr defaultRowHeight="13.8"/>
  <cols>
    <col min="1" max="1" width="14" customWidth="1"/>
    <col min="2" max="2" width="48" customWidth="1"/>
    <col min="3" max="3" width="62" customWidth="1"/>
  </cols>
  <sheetData>
    <row r="1" spans="1:3" ht="21.6" customHeight="1">
      <c r="A1" s="40" t="s">
        <v>591</v>
      </c>
      <c r="B1" s="40"/>
      <c r="C1" s="40"/>
    </row>
    <row r="2" spans="1:3" ht="15" customHeight="1">
      <c r="A2" s="17" t="s">
        <v>592</v>
      </c>
      <c r="B2" s="17"/>
      <c r="C2" s="17"/>
    </row>
    <row r="3" spans="1:3" ht="15" customHeight="1">
      <c r="A3" s="1"/>
      <c r="B3" s="1"/>
      <c r="C3" s="1"/>
    </row>
    <row r="4" spans="1:3" ht="15" customHeight="1">
      <c r="A4" s="2" t="s">
        <v>593</v>
      </c>
      <c r="B4" s="2" t="s">
        <v>594</v>
      </c>
      <c r="C4" s="2" t="s">
        <v>595</v>
      </c>
    </row>
    <row r="5" spans="1:3" ht="15" customHeight="1">
      <c r="A5" s="3" t="s">
        <v>596</v>
      </c>
      <c r="B5" s="3" t="s">
        <v>597</v>
      </c>
      <c r="C5" s="3" t="s">
        <v>598</v>
      </c>
    </row>
    <row r="6" spans="1:3" ht="15" customHeight="1">
      <c r="A6" s="3" t="s">
        <v>599</v>
      </c>
      <c r="B6" s="3" t="s">
        <v>600</v>
      </c>
      <c r="C6" s="3" t="s">
        <v>601</v>
      </c>
    </row>
    <row r="7" spans="1:3" ht="15" customHeight="1">
      <c r="A7" s="3" t="s">
        <v>602</v>
      </c>
      <c r="B7" s="3" t="s">
        <v>64</v>
      </c>
      <c r="C7" s="3" t="s">
        <v>603</v>
      </c>
    </row>
    <row r="8" spans="1:3" ht="15" customHeight="1">
      <c r="A8" s="3" t="s">
        <v>604</v>
      </c>
      <c r="B8" s="3" t="s">
        <v>605</v>
      </c>
      <c r="C8" s="3" t="s">
        <v>606</v>
      </c>
    </row>
    <row r="9" spans="1:3" ht="15" customHeight="1">
      <c r="A9" s="3" t="s">
        <v>607</v>
      </c>
      <c r="B9" s="3" t="s">
        <v>608</v>
      </c>
      <c r="C9" s="3" t="s">
        <v>609</v>
      </c>
    </row>
    <row r="10" spans="1:3" ht="15" customHeight="1">
      <c r="A10" s="3" t="s">
        <v>610</v>
      </c>
      <c r="B10" s="3" t="s">
        <v>611</v>
      </c>
      <c r="C10" s="3" t="s">
        <v>612</v>
      </c>
    </row>
    <row r="11" spans="1:3" ht="15" customHeight="1">
      <c r="A11" s="3" t="s">
        <v>613</v>
      </c>
      <c r="B11" s="3" t="s">
        <v>614</v>
      </c>
      <c r="C11" s="3" t="s">
        <v>615</v>
      </c>
    </row>
    <row r="12" spans="1:3" ht="15" customHeight="1">
      <c r="A12" s="3" t="s">
        <v>616</v>
      </c>
      <c r="B12" s="3" t="s">
        <v>115</v>
      </c>
      <c r="C12" s="3" t="s">
        <v>617</v>
      </c>
    </row>
    <row r="13" spans="1:3" ht="15" customHeight="1">
      <c r="A13" s="3" t="s">
        <v>618</v>
      </c>
      <c r="B13" s="3" t="s">
        <v>124</v>
      </c>
      <c r="C13" s="3" t="s">
        <v>619</v>
      </c>
    </row>
    <row r="14" spans="1:3" ht="26.4" customHeight="1">
      <c r="A14" s="3" t="s">
        <v>620</v>
      </c>
      <c r="B14" s="3" t="s">
        <v>621</v>
      </c>
      <c r="C14" s="3" t="s">
        <v>622</v>
      </c>
    </row>
    <row r="15" spans="1:3" ht="15" customHeight="1">
      <c r="A15" s="3" t="s">
        <v>623</v>
      </c>
      <c r="B15" s="3" t="s">
        <v>147</v>
      </c>
      <c r="C15" s="3" t="s">
        <v>469</v>
      </c>
    </row>
    <row r="16" spans="1:3" ht="15" customHeight="1">
      <c r="A16" s="3" t="s">
        <v>624</v>
      </c>
      <c r="B16" s="3" t="s">
        <v>625</v>
      </c>
      <c r="C16" s="3" t="s">
        <v>626</v>
      </c>
    </row>
    <row r="17" spans="1:3" ht="15" customHeight="1">
      <c r="A17" s="3" t="s">
        <v>627</v>
      </c>
      <c r="B17" s="3" t="s">
        <v>628</v>
      </c>
      <c r="C17" s="3" t="s">
        <v>629</v>
      </c>
    </row>
    <row r="18" spans="1:3" ht="15" customHeight="1">
      <c r="A18" s="3" t="s">
        <v>630</v>
      </c>
      <c r="B18" s="3" t="s">
        <v>631</v>
      </c>
      <c r="C18" s="3" t="s">
        <v>632</v>
      </c>
    </row>
    <row r="19" spans="1:3" ht="15" customHeight="1">
      <c r="A19" s="3" t="s">
        <v>633</v>
      </c>
      <c r="B19" s="3" t="s">
        <v>241</v>
      </c>
      <c r="C19" s="3" t="s">
        <v>634</v>
      </c>
    </row>
    <row r="20" spans="1:3" ht="15" customHeight="1">
      <c r="A20" s="3" t="s">
        <v>635</v>
      </c>
      <c r="B20" s="3" t="s">
        <v>252</v>
      </c>
      <c r="C20" s="3" t="s">
        <v>636</v>
      </c>
    </row>
    <row r="21" spans="1:3" ht="15" customHeight="1">
      <c r="A21" s="3" t="s">
        <v>637</v>
      </c>
      <c r="B21" s="3" t="s">
        <v>264</v>
      </c>
      <c r="C21" s="3" t="s">
        <v>638</v>
      </c>
    </row>
    <row r="22" spans="1:3" ht="15" customHeight="1">
      <c r="A22" s="3" t="s">
        <v>639</v>
      </c>
      <c r="B22" s="3" t="s">
        <v>276</v>
      </c>
      <c r="C22" s="3" t="s">
        <v>640</v>
      </c>
    </row>
    <row r="23" spans="1:3" ht="15" customHeight="1">
      <c r="A23" s="3" t="s">
        <v>641</v>
      </c>
      <c r="B23" s="3" t="s">
        <v>286</v>
      </c>
      <c r="C23" s="3" t="s">
        <v>642</v>
      </c>
    </row>
    <row r="24" spans="1:3" ht="15" customHeight="1">
      <c r="A24" s="3" t="s">
        <v>643</v>
      </c>
      <c r="B24" s="3" t="s">
        <v>297</v>
      </c>
      <c r="C24" s="3" t="s">
        <v>644</v>
      </c>
    </row>
    <row r="25" spans="1:3" ht="15" customHeight="1">
      <c r="A25" s="3" t="s">
        <v>645</v>
      </c>
      <c r="B25" s="3" t="s">
        <v>308</v>
      </c>
      <c r="C25" s="3" t="s">
        <v>646</v>
      </c>
    </row>
    <row r="26" spans="1:3" ht="15" customHeight="1">
      <c r="A26" s="3" t="s">
        <v>647</v>
      </c>
      <c r="B26" s="3" t="s">
        <v>648</v>
      </c>
      <c r="C26" s="3" t="s">
        <v>649</v>
      </c>
    </row>
    <row r="27" spans="1:3" ht="15" customHeight="1">
      <c r="A27" s="3" t="s">
        <v>650</v>
      </c>
      <c r="B27" s="3" t="s">
        <v>332</v>
      </c>
      <c r="C27" s="3" t="s">
        <v>651</v>
      </c>
    </row>
    <row r="28" spans="1:3" ht="26.4" customHeight="1">
      <c r="A28" s="3" t="s">
        <v>652</v>
      </c>
      <c r="B28" s="3" t="s">
        <v>343</v>
      </c>
      <c r="C28" s="3" t="s">
        <v>653</v>
      </c>
    </row>
    <row r="29" spans="1:3" ht="15" customHeight="1">
      <c r="A29" s="3" t="s">
        <v>654</v>
      </c>
      <c r="B29" s="3" t="s">
        <v>355</v>
      </c>
      <c r="C29" s="3" t="s">
        <v>481</v>
      </c>
    </row>
    <row r="30" spans="1:3" ht="26.4" customHeight="1">
      <c r="A30" s="3" t="s">
        <v>655</v>
      </c>
      <c r="B30" s="3" t="s">
        <v>366</v>
      </c>
      <c r="C30" s="3" t="s">
        <v>656</v>
      </c>
    </row>
    <row r="31" spans="1:3" ht="26.4" customHeight="1">
      <c r="A31" s="3" t="s">
        <v>657</v>
      </c>
      <c r="B31" s="3" t="s">
        <v>378</v>
      </c>
      <c r="C31" s="3" t="s">
        <v>658</v>
      </c>
    </row>
    <row r="32" spans="1:3" ht="26.4" customHeight="1">
      <c r="A32" s="3" t="s">
        <v>659</v>
      </c>
      <c r="B32" s="3" t="s">
        <v>390</v>
      </c>
      <c r="C32" s="3" t="s">
        <v>660</v>
      </c>
    </row>
    <row r="33" spans="1:3" ht="15" customHeight="1">
      <c r="A33" s="3" t="s">
        <v>661</v>
      </c>
      <c r="B33" s="3" t="s">
        <v>400</v>
      </c>
      <c r="C33" s="3" t="s">
        <v>662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showGridLines="0" workbookViewId="0"/>
  </sheetViews>
  <sheetFormatPr defaultRowHeight="13.8"/>
  <cols>
    <col min="1" max="1" width="24" customWidth="1"/>
    <col min="2" max="2" width="32" customWidth="1"/>
    <col min="3" max="3" width="24" customWidth="1"/>
    <col min="4" max="4" width="68" customWidth="1"/>
  </cols>
  <sheetData>
    <row r="1" spans="1:4" ht="21.6" customHeight="1">
      <c r="A1" s="40" t="s">
        <v>663</v>
      </c>
      <c r="B1" s="40"/>
      <c r="C1" s="40"/>
      <c r="D1" s="40"/>
    </row>
    <row r="2" spans="1:4" ht="15" customHeight="1">
      <c r="A2" s="17" t="s">
        <v>664</v>
      </c>
      <c r="B2" s="17"/>
      <c r="C2" s="17"/>
      <c r="D2" s="17"/>
    </row>
    <row r="3" spans="1:4" ht="15" customHeight="1">
      <c r="A3" s="1"/>
      <c r="B3" s="1"/>
      <c r="C3" s="1"/>
      <c r="D3" s="1"/>
    </row>
    <row r="4" spans="1:4" ht="15" customHeight="1">
      <c r="A4" s="2" t="s">
        <v>665</v>
      </c>
      <c r="B4" s="2" t="s">
        <v>666</v>
      </c>
      <c r="C4" s="2" t="s">
        <v>667</v>
      </c>
      <c r="D4" s="2" t="s">
        <v>668</v>
      </c>
    </row>
    <row r="5" spans="1:4" ht="15" customHeight="1">
      <c r="A5" s="3" t="s">
        <v>414</v>
      </c>
      <c r="B5" s="3" t="s">
        <v>669</v>
      </c>
      <c r="C5" s="3" t="s">
        <v>427</v>
      </c>
      <c r="D5" s="3" t="s">
        <v>670</v>
      </c>
    </row>
    <row r="6" spans="1:4" ht="26.4" customHeight="1">
      <c r="A6" s="3" t="s">
        <v>671</v>
      </c>
      <c r="B6" s="3" t="s">
        <v>672</v>
      </c>
      <c r="C6" s="3" t="s">
        <v>673</v>
      </c>
      <c r="D6" s="3" t="s">
        <v>674</v>
      </c>
    </row>
    <row r="7" spans="1:4" ht="15" customHeight="1">
      <c r="A7" s="3" t="s">
        <v>21</v>
      </c>
      <c r="B7" s="3" t="s">
        <v>675</v>
      </c>
      <c r="C7" s="3" t="s">
        <v>157</v>
      </c>
      <c r="D7" s="3" t="s">
        <v>676</v>
      </c>
    </row>
    <row r="8" spans="1:4" ht="15" customHeight="1">
      <c r="A8" s="3" t="s">
        <v>677</v>
      </c>
      <c r="B8" s="3" t="s">
        <v>678</v>
      </c>
      <c r="C8" s="3" t="s">
        <v>509</v>
      </c>
      <c r="D8" s="3" t="s">
        <v>679</v>
      </c>
    </row>
    <row r="9" spans="1:4" ht="15" customHeight="1">
      <c r="A9" s="3" t="s">
        <v>594</v>
      </c>
      <c r="B9" s="3" t="s">
        <v>680</v>
      </c>
      <c r="C9" s="3" t="s">
        <v>624</v>
      </c>
      <c r="D9" s="3" t="s">
        <v>681</v>
      </c>
    </row>
    <row r="10" spans="1:4" ht="15" customHeight="1">
      <c r="A10" s="3" t="s">
        <v>682</v>
      </c>
      <c r="B10" s="3" t="s">
        <v>683</v>
      </c>
      <c r="C10" s="3" t="s">
        <v>163</v>
      </c>
      <c r="D10" s="3" t="s">
        <v>684</v>
      </c>
    </row>
    <row r="11" spans="1:4" ht="15" customHeight="1">
      <c r="A11" s="3" t="s">
        <v>685</v>
      </c>
      <c r="B11" s="3" t="s">
        <v>686</v>
      </c>
      <c r="C11" s="3" t="s">
        <v>687</v>
      </c>
      <c r="D11" s="3" t="s">
        <v>688</v>
      </c>
    </row>
    <row r="12" spans="1:4" ht="15" customHeight="1">
      <c r="A12" s="3" t="s">
        <v>689</v>
      </c>
      <c r="B12" s="3" t="s">
        <v>690</v>
      </c>
      <c r="C12" s="3" t="s">
        <v>691</v>
      </c>
      <c r="D12" s="3" t="s">
        <v>692</v>
      </c>
    </row>
    <row r="13" spans="1:4" ht="14.4">
      <c r="A13" s="3" t="s">
        <v>693</v>
      </c>
      <c r="B13" s="3" t="s">
        <v>694</v>
      </c>
      <c r="C13" s="3" t="s">
        <v>695</v>
      </c>
      <c r="D13" s="3" t="s">
        <v>696</v>
      </c>
    </row>
    <row r="14" spans="1:4" ht="14.4">
      <c r="A14" s="3" t="s">
        <v>697</v>
      </c>
      <c r="B14" s="3" t="s">
        <v>698</v>
      </c>
      <c r="C14" s="3" t="s">
        <v>699</v>
      </c>
      <c r="D14" s="3" t="s">
        <v>700</v>
      </c>
    </row>
    <row r="15" spans="1:4" ht="14.4">
      <c r="A15" s="3" t="s">
        <v>35</v>
      </c>
      <c r="B15" s="3" t="s">
        <v>701</v>
      </c>
      <c r="C15" s="3" t="s">
        <v>52</v>
      </c>
      <c r="D15" s="3" t="s">
        <v>702</v>
      </c>
    </row>
    <row r="16" spans="1:4" ht="14.4">
      <c r="A16" s="3" t="s">
        <v>703</v>
      </c>
      <c r="B16" s="3" t="s">
        <v>704</v>
      </c>
      <c r="C16" s="3" t="s">
        <v>705</v>
      </c>
      <c r="D16" s="3" t="s">
        <v>706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showGridLines="0" workbookViewId="0"/>
  </sheetViews>
  <sheetFormatPr defaultRowHeight="13.8"/>
  <cols>
    <col min="1" max="1" width="15" customWidth="1"/>
    <col min="2" max="2" width="16" customWidth="1"/>
    <col min="3" max="3" width="42" customWidth="1"/>
    <col min="4" max="4" width="46" customWidth="1"/>
    <col min="5" max="6" width="24" customWidth="1"/>
    <col min="7" max="7" width="30" customWidth="1"/>
    <col min="8" max="8" width="22" customWidth="1"/>
    <col min="9" max="9" width="16" customWidth="1"/>
    <col min="10" max="10" width="32" customWidth="1"/>
    <col min="11" max="11" width="17" customWidth="1"/>
    <col min="12" max="12" width="18" customWidth="1"/>
    <col min="13" max="13" width="28" customWidth="1"/>
    <col min="14" max="14" width="18" customWidth="1"/>
  </cols>
  <sheetData>
    <row r="1" spans="1:14" ht="36" customHeight="1">
      <c r="A1" s="16" t="s">
        <v>707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4.4">
      <c r="A2" s="41" t="s">
        <v>708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4" spans="1:14" ht="31.95" customHeight="1">
      <c r="A4" s="12" t="s">
        <v>709</v>
      </c>
      <c r="B4" s="12" t="s">
        <v>710</v>
      </c>
      <c r="C4" s="12" t="s">
        <v>711</v>
      </c>
      <c r="D4" s="12" t="s">
        <v>595</v>
      </c>
      <c r="E4" s="12" t="s">
        <v>712</v>
      </c>
      <c r="F4" s="12" t="s">
        <v>28</v>
      </c>
      <c r="G4" s="12" t="s">
        <v>29</v>
      </c>
      <c r="H4" s="12" t="s">
        <v>30</v>
      </c>
      <c r="I4" s="12" t="s">
        <v>713</v>
      </c>
      <c r="J4" s="12" t="s">
        <v>714</v>
      </c>
      <c r="K4" s="12" t="s">
        <v>35</v>
      </c>
      <c r="L4" s="12" t="s">
        <v>715</v>
      </c>
      <c r="M4" s="12" t="s">
        <v>716</v>
      </c>
      <c r="N4" s="12" t="s">
        <v>703</v>
      </c>
    </row>
    <row r="5" spans="1:14" ht="49.95" customHeight="1">
      <c r="A5" s="5" t="s">
        <v>38</v>
      </c>
      <c r="B5" s="5" t="s">
        <v>717</v>
      </c>
      <c r="C5" s="5" t="s">
        <v>39</v>
      </c>
      <c r="D5" s="5" t="s">
        <v>38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718</v>
      </c>
      <c r="J5" s="5" t="s">
        <v>719</v>
      </c>
      <c r="K5" s="5" t="s">
        <v>52</v>
      </c>
      <c r="L5" s="5"/>
      <c r="M5" s="5"/>
      <c r="N5" s="5" t="str">
        <f t="shared" ref="N5:N36" si="0">IF(AND(E5&lt;&gt;"",F5&lt;&gt;""),"Complete","Review")</f>
        <v>Complete</v>
      </c>
    </row>
    <row r="6" spans="1:14" ht="49.95" customHeight="1">
      <c r="A6" s="6" t="s">
        <v>54</v>
      </c>
      <c r="B6" s="6" t="s">
        <v>717</v>
      </c>
      <c r="C6" s="6" t="s">
        <v>55</v>
      </c>
      <c r="D6" s="6" t="s">
        <v>54</v>
      </c>
      <c r="E6" s="6" t="s">
        <v>58</v>
      </c>
      <c r="F6" s="6" t="s">
        <v>59</v>
      </c>
      <c r="G6" s="6" t="s">
        <v>60</v>
      </c>
      <c r="H6" s="6"/>
      <c r="I6" s="6" t="s">
        <v>718</v>
      </c>
      <c r="J6" s="6" t="s">
        <v>720</v>
      </c>
      <c r="K6" s="6" t="s">
        <v>52</v>
      </c>
      <c r="L6" s="6"/>
      <c r="M6" s="6"/>
      <c r="N6" s="6" t="str">
        <f t="shared" si="0"/>
        <v>Complete</v>
      </c>
    </row>
    <row r="7" spans="1:14" ht="49.95" customHeight="1">
      <c r="A7" s="6" t="s">
        <v>63</v>
      </c>
      <c r="B7" s="6" t="s">
        <v>717</v>
      </c>
      <c r="C7" s="6" t="s">
        <v>64</v>
      </c>
      <c r="D7" s="6" t="s">
        <v>63</v>
      </c>
      <c r="E7" s="6" t="s">
        <v>68</v>
      </c>
      <c r="F7" s="6" t="s">
        <v>69</v>
      </c>
      <c r="G7" s="6" t="s">
        <v>70</v>
      </c>
      <c r="H7" s="6"/>
      <c r="I7" s="6" t="s">
        <v>718</v>
      </c>
      <c r="J7" s="6" t="s">
        <v>720</v>
      </c>
      <c r="K7" s="6" t="s">
        <v>52</v>
      </c>
      <c r="L7" s="6"/>
      <c r="M7" s="6"/>
      <c r="N7" s="6" t="str">
        <f t="shared" si="0"/>
        <v>Complete</v>
      </c>
    </row>
    <row r="8" spans="1:14" ht="49.95" customHeight="1">
      <c r="A8" s="6" t="s">
        <v>71</v>
      </c>
      <c r="B8" s="6" t="s">
        <v>717</v>
      </c>
      <c r="C8" s="6" t="s">
        <v>72</v>
      </c>
      <c r="D8" s="6" t="s">
        <v>71</v>
      </c>
      <c r="E8" s="6" t="s">
        <v>76</v>
      </c>
      <c r="F8" s="6" t="s">
        <v>77</v>
      </c>
      <c r="G8" s="6" t="s">
        <v>78</v>
      </c>
      <c r="H8" s="6" t="s">
        <v>48</v>
      </c>
      <c r="I8" s="6" t="s">
        <v>718</v>
      </c>
      <c r="J8" s="6" t="s">
        <v>719</v>
      </c>
      <c r="K8" s="6" t="s">
        <v>52</v>
      </c>
      <c r="L8" s="6"/>
      <c r="M8" s="6"/>
      <c r="N8" s="6" t="str">
        <f t="shared" si="0"/>
        <v>Complete</v>
      </c>
    </row>
    <row r="9" spans="1:14" ht="49.95" customHeight="1">
      <c r="A9" s="6" t="s">
        <v>79</v>
      </c>
      <c r="B9" s="6" t="s">
        <v>717</v>
      </c>
      <c r="C9" s="6" t="s">
        <v>80</v>
      </c>
      <c r="D9" s="6" t="s">
        <v>79</v>
      </c>
      <c r="E9" s="6" t="s">
        <v>84</v>
      </c>
      <c r="F9" s="6" t="s">
        <v>85</v>
      </c>
      <c r="G9" s="6" t="s">
        <v>86</v>
      </c>
      <c r="H9" s="6"/>
      <c r="I9" s="6" t="s">
        <v>718</v>
      </c>
      <c r="J9" s="6" t="s">
        <v>720</v>
      </c>
      <c r="K9" s="6" t="s">
        <v>52</v>
      </c>
      <c r="L9" s="6"/>
      <c r="M9" s="6"/>
      <c r="N9" s="6" t="str">
        <f t="shared" si="0"/>
        <v>Complete</v>
      </c>
    </row>
    <row r="10" spans="1:14" ht="49.95" customHeight="1">
      <c r="A10" s="6" t="s">
        <v>87</v>
      </c>
      <c r="B10" s="6" t="s">
        <v>717</v>
      </c>
      <c r="C10" s="6" t="s">
        <v>88</v>
      </c>
      <c r="D10" s="6" t="s">
        <v>87</v>
      </c>
      <c r="E10" s="6" t="s">
        <v>93</v>
      </c>
      <c r="F10" s="6" t="s">
        <v>94</v>
      </c>
      <c r="G10" s="6" t="s">
        <v>95</v>
      </c>
      <c r="H10" s="6" t="s">
        <v>48</v>
      </c>
      <c r="I10" s="6" t="s">
        <v>718</v>
      </c>
      <c r="J10" s="6" t="s">
        <v>719</v>
      </c>
      <c r="K10" s="6" t="s">
        <v>52</v>
      </c>
      <c r="L10" s="6"/>
      <c r="M10" s="6"/>
      <c r="N10" s="6" t="str">
        <f t="shared" si="0"/>
        <v>Complete</v>
      </c>
    </row>
    <row r="11" spans="1:14" ht="49.95" customHeight="1">
      <c r="A11" s="6" t="s">
        <v>96</v>
      </c>
      <c r="B11" s="6" t="s">
        <v>717</v>
      </c>
      <c r="C11" s="6" t="s">
        <v>97</v>
      </c>
      <c r="D11" s="6" t="s">
        <v>96</v>
      </c>
      <c r="E11" s="6" t="s">
        <v>102</v>
      </c>
      <c r="F11" s="6" t="s">
        <v>103</v>
      </c>
      <c r="G11" s="6" t="s">
        <v>104</v>
      </c>
      <c r="H11" s="6"/>
      <c r="I11" s="6" t="s">
        <v>718</v>
      </c>
      <c r="J11" s="6" t="s">
        <v>720</v>
      </c>
      <c r="K11" s="6" t="s">
        <v>52</v>
      </c>
      <c r="L11" s="6"/>
      <c r="M11" s="6"/>
      <c r="N11" s="6" t="str">
        <f t="shared" si="0"/>
        <v>Complete</v>
      </c>
    </row>
    <row r="12" spans="1:14" ht="49.95" customHeight="1">
      <c r="A12" s="6" t="s">
        <v>105</v>
      </c>
      <c r="B12" s="6" t="s">
        <v>717</v>
      </c>
      <c r="C12" s="6" t="s">
        <v>106</v>
      </c>
      <c r="D12" s="6" t="s">
        <v>105</v>
      </c>
      <c r="E12" s="6" t="s">
        <v>111</v>
      </c>
      <c r="F12" s="6" t="s">
        <v>112</v>
      </c>
      <c r="G12" s="6" t="s">
        <v>113</v>
      </c>
      <c r="H12" s="6"/>
      <c r="I12" s="6" t="s">
        <v>718</v>
      </c>
      <c r="J12" s="6" t="s">
        <v>720</v>
      </c>
      <c r="K12" s="6" t="s">
        <v>52</v>
      </c>
      <c r="L12" s="6"/>
      <c r="M12" s="6"/>
      <c r="N12" s="6" t="str">
        <f t="shared" si="0"/>
        <v>Complete</v>
      </c>
    </row>
    <row r="13" spans="1:14" ht="49.95" customHeight="1">
      <c r="A13" s="6" t="s">
        <v>114</v>
      </c>
      <c r="B13" s="6" t="s">
        <v>717</v>
      </c>
      <c r="C13" s="6" t="s">
        <v>115</v>
      </c>
      <c r="D13" s="6" t="s">
        <v>114</v>
      </c>
      <c r="E13" s="6" t="s">
        <v>120</v>
      </c>
      <c r="F13" s="6" t="s">
        <v>121</v>
      </c>
      <c r="G13" s="6" t="s">
        <v>122</v>
      </c>
      <c r="H13" s="6" t="s">
        <v>48</v>
      </c>
      <c r="I13" s="6" t="s">
        <v>718</v>
      </c>
      <c r="J13" s="6" t="s">
        <v>719</v>
      </c>
      <c r="K13" s="6" t="s">
        <v>52</v>
      </c>
      <c r="L13" s="6"/>
      <c r="M13" s="6"/>
      <c r="N13" s="6" t="str">
        <f t="shared" si="0"/>
        <v>Complete</v>
      </c>
    </row>
    <row r="14" spans="1:14" ht="49.95" customHeight="1">
      <c r="A14" s="6" t="s">
        <v>123</v>
      </c>
      <c r="B14" s="6" t="s">
        <v>717</v>
      </c>
      <c r="C14" s="6" t="s">
        <v>124</v>
      </c>
      <c r="D14" s="6" t="s">
        <v>123</v>
      </c>
      <c r="E14" s="6" t="s">
        <v>130</v>
      </c>
      <c r="F14" s="6" t="s">
        <v>131</v>
      </c>
      <c r="G14" s="6" t="s">
        <v>132</v>
      </c>
      <c r="H14" s="6"/>
      <c r="I14" s="6" t="s">
        <v>718</v>
      </c>
      <c r="J14" s="6" t="s">
        <v>720</v>
      </c>
      <c r="K14" s="6" t="s">
        <v>52</v>
      </c>
      <c r="L14" s="6"/>
      <c r="M14" s="6"/>
      <c r="N14" s="6" t="str">
        <f t="shared" si="0"/>
        <v>Complete</v>
      </c>
    </row>
    <row r="15" spans="1:14" ht="49.95" customHeight="1">
      <c r="A15" s="6" t="s">
        <v>134</v>
      </c>
      <c r="B15" s="6" t="s">
        <v>717</v>
      </c>
      <c r="C15" s="6" t="s">
        <v>135</v>
      </c>
      <c r="D15" s="6" t="s">
        <v>134</v>
      </c>
      <c r="E15" s="6" t="s">
        <v>141</v>
      </c>
      <c r="F15" s="6" t="s">
        <v>142</v>
      </c>
      <c r="G15" s="6" t="s">
        <v>143</v>
      </c>
      <c r="H15" s="6" t="s">
        <v>144</v>
      </c>
      <c r="I15" s="6" t="s">
        <v>718</v>
      </c>
      <c r="J15" s="6" t="s">
        <v>719</v>
      </c>
      <c r="K15" s="6" t="s">
        <v>52</v>
      </c>
      <c r="L15" s="6"/>
      <c r="M15" s="6"/>
      <c r="N15" s="6" t="str">
        <f t="shared" si="0"/>
        <v>Complete</v>
      </c>
    </row>
    <row r="16" spans="1:14" ht="49.95" customHeight="1">
      <c r="A16" s="6" t="s">
        <v>146</v>
      </c>
      <c r="B16" s="6" t="s">
        <v>717</v>
      </c>
      <c r="C16" s="6" t="s">
        <v>147</v>
      </c>
      <c r="D16" s="6" t="s">
        <v>146</v>
      </c>
      <c r="E16" s="6" t="s">
        <v>153</v>
      </c>
      <c r="F16" s="6" t="s">
        <v>154</v>
      </c>
      <c r="G16" s="6" t="s">
        <v>155</v>
      </c>
      <c r="H16" s="6" t="s">
        <v>156</v>
      </c>
      <c r="I16" s="6" t="s">
        <v>718</v>
      </c>
      <c r="J16" s="6" t="s">
        <v>719</v>
      </c>
      <c r="K16" s="6" t="s">
        <v>52</v>
      </c>
      <c r="L16" s="6"/>
      <c r="M16" s="6"/>
      <c r="N16" s="6" t="str">
        <f t="shared" si="0"/>
        <v>Complete</v>
      </c>
    </row>
    <row r="17" spans="1:14" ht="49.95" customHeight="1">
      <c r="A17" s="6" t="s">
        <v>157</v>
      </c>
      <c r="B17" s="6" t="s">
        <v>717</v>
      </c>
      <c r="C17" s="6" t="s">
        <v>158</v>
      </c>
      <c r="D17" s="6" t="s">
        <v>157</v>
      </c>
      <c r="E17" s="6" t="s">
        <v>164</v>
      </c>
      <c r="F17" s="6" t="s">
        <v>165</v>
      </c>
      <c r="G17" s="6" t="s">
        <v>166</v>
      </c>
      <c r="H17" s="6" t="s">
        <v>167</v>
      </c>
      <c r="I17" s="6" t="s">
        <v>718</v>
      </c>
      <c r="J17" s="6" t="s">
        <v>719</v>
      </c>
      <c r="K17" s="6" t="s">
        <v>52</v>
      </c>
      <c r="L17" s="6"/>
      <c r="M17" s="6"/>
      <c r="N17" s="6" t="str">
        <f t="shared" si="0"/>
        <v>Complete</v>
      </c>
    </row>
    <row r="18" spans="1:14" ht="49.95" customHeight="1">
      <c r="A18" s="6" t="s">
        <v>169</v>
      </c>
      <c r="B18" s="6" t="s">
        <v>717</v>
      </c>
      <c r="C18" s="6" t="s">
        <v>170</v>
      </c>
      <c r="D18" s="6" t="s">
        <v>169</v>
      </c>
      <c r="E18" s="6" t="s">
        <v>174</v>
      </c>
      <c r="F18" s="6" t="s">
        <v>175</v>
      </c>
      <c r="G18" s="6" t="s">
        <v>176</v>
      </c>
      <c r="H18" s="6" t="s">
        <v>177</v>
      </c>
      <c r="I18" s="6" t="s">
        <v>718</v>
      </c>
      <c r="J18" s="6" t="s">
        <v>719</v>
      </c>
      <c r="K18" s="6" t="s">
        <v>52</v>
      </c>
      <c r="L18" s="6"/>
      <c r="M18" s="6"/>
      <c r="N18" s="6" t="str">
        <f t="shared" si="0"/>
        <v>Complete</v>
      </c>
    </row>
    <row r="19" spans="1:14" ht="49.95" customHeight="1">
      <c r="A19" s="6" t="s">
        <v>178</v>
      </c>
      <c r="B19" s="6" t="s">
        <v>717</v>
      </c>
      <c r="C19" s="6" t="s">
        <v>179</v>
      </c>
      <c r="D19" s="6" t="s">
        <v>178</v>
      </c>
      <c r="E19" s="6" t="s">
        <v>183</v>
      </c>
      <c r="F19" s="6" t="s">
        <v>184</v>
      </c>
      <c r="G19" s="6" t="s">
        <v>185</v>
      </c>
      <c r="H19" s="6" t="s">
        <v>167</v>
      </c>
      <c r="I19" s="6" t="s">
        <v>718</v>
      </c>
      <c r="J19" s="6" t="s">
        <v>719</v>
      </c>
      <c r="K19" s="6" t="s">
        <v>52</v>
      </c>
      <c r="L19" s="6"/>
      <c r="M19" s="6"/>
      <c r="N19" s="6" t="str">
        <f t="shared" si="0"/>
        <v>Complete</v>
      </c>
    </row>
    <row r="20" spans="1:14" ht="49.95" customHeight="1">
      <c r="A20" s="6" t="s">
        <v>186</v>
      </c>
      <c r="B20" s="6" t="s">
        <v>717</v>
      </c>
      <c r="C20" s="6" t="s">
        <v>187</v>
      </c>
      <c r="D20" s="6" t="s">
        <v>186</v>
      </c>
      <c r="E20" s="6" t="s">
        <v>193</v>
      </c>
      <c r="F20" s="6" t="s">
        <v>194</v>
      </c>
      <c r="G20" s="6" t="s">
        <v>195</v>
      </c>
      <c r="H20" s="6" t="s">
        <v>167</v>
      </c>
      <c r="I20" s="6" t="s">
        <v>718</v>
      </c>
      <c r="J20" s="6" t="s">
        <v>719</v>
      </c>
      <c r="K20" s="6" t="s">
        <v>52</v>
      </c>
      <c r="L20" s="6"/>
      <c r="M20" s="6"/>
      <c r="N20" s="6" t="str">
        <f t="shared" si="0"/>
        <v>Complete</v>
      </c>
    </row>
    <row r="21" spans="1:14" ht="49.95" customHeight="1">
      <c r="A21" s="6" t="s">
        <v>197</v>
      </c>
      <c r="B21" s="6" t="s">
        <v>717</v>
      </c>
      <c r="C21" s="6" t="s">
        <v>198</v>
      </c>
      <c r="D21" s="6" t="s">
        <v>197</v>
      </c>
      <c r="E21" s="6" t="s">
        <v>204</v>
      </c>
      <c r="F21" s="6" t="s">
        <v>205</v>
      </c>
      <c r="G21" s="6" t="s">
        <v>206</v>
      </c>
      <c r="H21" s="6" t="s">
        <v>167</v>
      </c>
      <c r="I21" s="6" t="s">
        <v>718</v>
      </c>
      <c r="J21" s="6" t="s">
        <v>719</v>
      </c>
      <c r="K21" s="6" t="s">
        <v>52</v>
      </c>
      <c r="L21" s="6"/>
      <c r="M21" s="6"/>
      <c r="N21" s="6" t="str">
        <f t="shared" si="0"/>
        <v>Complete</v>
      </c>
    </row>
    <row r="22" spans="1:14" ht="49.95" customHeight="1">
      <c r="A22" s="6" t="s">
        <v>207</v>
      </c>
      <c r="B22" s="6" t="s">
        <v>717</v>
      </c>
      <c r="C22" s="6" t="s">
        <v>208</v>
      </c>
      <c r="D22" s="6" t="s">
        <v>207</v>
      </c>
      <c r="E22" s="6" t="s">
        <v>214</v>
      </c>
      <c r="F22" s="6" t="s">
        <v>215</v>
      </c>
      <c r="G22" s="6" t="s">
        <v>216</v>
      </c>
      <c r="H22" s="6" t="s">
        <v>217</v>
      </c>
      <c r="I22" s="6" t="s">
        <v>718</v>
      </c>
      <c r="J22" s="6" t="s">
        <v>719</v>
      </c>
      <c r="K22" s="6" t="s">
        <v>52</v>
      </c>
      <c r="L22" s="6"/>
      <c r="M22" s="6"/>
      <c r="N22" s="6" t="str">
        <f t="shared" si="0"/>
        <v>Complete</v>
      </c>
    </row>
    <row r="23" spans="1:14" ht="49.95" customHeight="1">
      <c r="A23" s="6" t="s">
        <v>219</v>
      </c>
      <c r="B23" s="6" t="s">
        <v>717</v>
      </c>
      <c r="C23" s="6" t="s">
        <v>220</v>
      </c>
      <c r="D23" s="6" t="s">
        <v>219</v>
      </c>
      <c r="E23" s="6" t="s">
        <v>226</v>
      </c>
      <c r="F23" s="6" t="s">
        <v>227</v>
      </c>
      <c r="G23" s="6" t="s">
        <v>228</v>
      </c>
      <c r="H23" s="6" t="s">
        <v>144</v>
      </c>
      <c r="I23" s="6" t="s">
        <v>718</v>
      </c>
      <c r="J23" s="6" t="s">
        <v>719</v>
      </c>
      <c r="K23" s="6" t="s">
        <v>52</v>
      </c>
      <c r="L23" s="6"/>
      <c r="M23" s="6"/>
      <c r="N23" s="6" t="str">
        <f t="shared" si="0"/>
        <v>Complete</v>
      </c>
    </row>
    <row r="24" spans="1:14" ht="49.95" customHeight="1">
      <c r="A24" s="6" t="s">
        <v>230</v>
      </c>
      <c r="B24" s="6" t="s">
        <v>717</v>
      </c>
      <c r="C24" s="6" t="s">
        <v>231</v>
      </c>
      <c r="D24" s="6" t="s">
        <v>230</v>
      </c>
      <c r="E24" s="6" t="s">
        <v>237</v>
      </c>
      <c r="F24" s="6" t="s">
        <v>238</v>
      </c>
      <c r="G24" s="6" t="s">
        <v>239</v>
      </c>
      <c r="H24" s="6" t="s">
        <v>177</v>
      </c>
      <c r="I24" s="6" t="s">
        <v>718</v>
      </c>
      <c r="J24" s="6" t="s">
        <v>719</v>
      </c>
      <c r="K24" s="6" t="s">
        <v>52</v>
      </c>
      <c r="L24" s="6"/>
      <c r="M24" s="6"/>
      <c r="N24" s="6" t="str">
        <f t="shared" si="0"/>
        <v>Complete</v>
      </c>
    </row>
    <row r="25" spans="1:14" ht="49.95" customHeight="1">
      <c r="A25" s="6" t="s">
        <v>240</v>
      </c>
      <c r="B25" s="6" t="s">
        <v>717</v>
      </c>
      <c r="C25" s="6" t="s">
        <v>241</v>
      </c>
      <c r="D25" s="6" t="s">
        <v>240</v>
      </c>
      <c r="E25" s="6" t="s">
        <v>247</v>
      </c>
      <c r="F25" s="6" t="s">
        <v>248</v>
      </c>
      <c r="G25" s="6" t="s">
        <v>249</v>
      </c>
      <c r="H25" s="6" t="s">
        <v>250</v>
      </c>
      <c r="I25" s="6" t="s">
        <v>718</v>
      </c>
      <c r="J25" s="6" t="s">
        <v>719</v>
      </c>
      <c r="K25" s="6" t="s">
        <v>52</v>
      </c>
      <c r="L25" s="6"/>
      <c r="M25" s="6"/>
      <c r="N25" s="6" t="str">
        <f t="shared" si="0"/>
        <v>Complete</v>
      </c>
    </row>
    <row r="26" spans="1:14" ht="49.95" customHeight="1">
      <c r="A26" s="6" t="s">
        <v>251</v>
      </c>
      <c r="B26" s="6" t="s">
        <v>717</v>
      </c>
      <c r="C26" s="6" t="s">
        <v>252</v>
      </c>
      <c r="D26" s="6" t="s">
        <v>251</v>
      </c>
      <c r="E26" s="6" t="s">
        <v>258</v>
      </c>
      <c r="F26" s="6" t="s">
        <v>259</v>
      </c>
      <c r="G26" s="6" t="s">
        <v>260</v>
      </c>
      <c r="H26" s="6" t="s">
        <v>261</v>
      </c>
      <c r="I26" s="6" t="s">
        <v>718</v>
      </c>
      <c r="J26" s="6" t="s">
        <v>719</v>
      </c>
      <c r="K26" s="6" t="s">
        <v>52</v>
      </c>
      <c r="L26" s="6"/>
      <c r="M26" s="6"/>
      <c r="N26" s="6" t="str">
        <f t="shared" si="0"/>
        <v>Complete</v>
      </c>
    </row>
    <row r="27" spans="1:14" ht="49.95" customHeight="1">
      <c r="A27" s="6" t="s">
        <v>263</v>
      </c>
      <c r="B27" s="6" t="s">
        <v>717</v>
      </c>
      <c r="C27" s="6" t="s">
        <v>264</v>
      </c>
      <c r="D27" s="6" t="s">
        <v>263</v>
      </c>
      <c r="E27" s="6" t="s">
        <v>270</v>
      </c>
      <c r="F27" s="6" t="s">
        <v>271</v>
      </c>
      <c r="G27" s="6" t="s">
        <v>272</v>
      </c>
      <c r="H27" s="6" t="s">
        <v>273</v>
      </c>
      <c r="I27" s="6" t="s">
        <v>718</v>
      </c>
      <c r="J27" s="6" t="s">
        <v>719</v>
      </c>
      <c r="K27" s="6" t="s">
        <v>52</v>
      </c>
      <c r="L27" s="6"/>
      <c r="M27" s="6"/>
      <c r="N27" s="6" t="str">
        <f t="shared" si="0"/>
        <v>Complete</v>
      </c>
    </row>
    <row r="28" spans="1:14" ht="49.95" customHeight="1">
      <c r="A28" s="6" t="s">
        <v>275</v>
      </c>
      <c r="B28" s="6" t="s">
        <v>717</v>
      </c>
      <c r="C28" s="6" t="s">
        <v>276</v>
      </c>
      <c r="D28" s="6" t="s">
        <v>275</v>
      </c>
      <c r="E28" s="6" t="s">
        <v>282</v>
      </c>
      <c r="F28" s="6" t="s">
        <v>283</v>
      </c>
      <c r="G28" s="6" t="s">
        <v>284</v>
      </c>
      <c r="H28" s="6"/>
      <c r="I28" s="6" t="s">
        <v>718</v>
      </c>
      <c r="J28" s="6" t="s">
        <v>720</v>
      </c>
      <c r="K28" s="6" t="s">
        <v>52</v>
      </c>
      <c r="L28" s="6"/>
      <c r="M28" s="6"/>
      <c r="N28" s="6" t="str">
        <f t="shared" si="0"/>
        <v>Complete</v>
      </c>
    </row>
    <row r="29" spans="1:14" ht="49.95" customHeight="1">
      <c r="A29" s="6" t="s">
        <v>285</v>
      </c>
      <c r="B29" s="6" t="s">
        <v>717</v>
      </c>
      <c r="C29" s="6" t="s">
        <v>286</v>
      </c>
      <c r="D29" s="6" t="s">
        <v>285</v>
      </c>
      <c r="E29" s="6" t="s">
        <v>292</v>
      </c>
      <c r="F29" s="6" t="s">
        <v>293</v>
      </c>
      <c r="G29" s="6" t="s">
        <v>294</v>
      </c>
      <c r="H29" s="6" t="s">
        <v>295</v>
      </c>
      <c r="I29" s="6" t="s">
        <v>718</v>
      </c>
      <c r="J29" s="6" t="s">
        <v>719</v>
      </c>
      <c r="K29" s="6" t="s">
        <v>52</v>
      </c>
      <c r="L29" s="6"/>
      <c r="M29" s="6"/>
      <c r="N29" s="6" t="str">
        <f t="shared" si="0"/>
        <v>Complete</v>
      </c>
    </row>
    <row r="30" spans="1:14" ht="49.95" customHeight="1">
      <c r="A30" s="6" t="s">
        <v>296</v>
      </c>
      <c r="B30" s="6" t="s">
        <v>717</v>
      </c>
      <c r="C30" s="6" t="s">
        <v>297</v>
      </c>
      <c r="D30" s="6" t="s">
        <v>296</v>
      </c>
      <c r="E30" s="6" t="s">
        <v>303</v>
      </c>
      <c r="F30" s="6" t="s">
        <v>304</v>
      </c>
      <c r="G30" s="6" t="s">
        <v>305</v>
      </c>
      <c r="H30" s="6"/>
      <c r="I30" s="6" t="s">
        <v>718</v>
      </c>
      <c r="J30" s="6" t="s">
        <v>720</v>
      </c>
      <c r="K30" s="6" t="s">
        <v>52</v>
      </c>
      <c r="L30" s="6"/>
      <c r="M30" s="6"/>
      <c r="N30" s="6" t="str">
        <f t="shared" si="0"/>
        <v>Complete</v>
      </c>
    </row>
    <row r="31" spans="1:14" ht="49.95" customHeight="1">
      <c r="A31" s="6" t="s">
        <v>307</v>
      </c>
      <c r="B31" s="6" t="s">
        <v>717</v>
      </c>
      <c r="C31" s="6" t="s">
        <v>308</v>
      </c>
      <c r="D31" s="6" t="s">
        <v>307</v>
      </c>
      <c r="E31" s="6" t="s">
        <v>314</v>
      </c>
      <c r="F31" s="6" t="s">
        <v>315</v>
      </c>
      <c r="G31" s="6" t="s">
        <v>316</v>
      </c>
      <c r="H31" s="6" t="s">
        <v>317</v>
      </c>
      <c r="I31" s="6" t="s">
        <v>718</v>
      </c>
      <c r="J31" s="6" t="s">
        <v>719</v>
      </c>
      <c r="K31" s="6" t="s">
        <v>52</v>
      </c>
      <c r="L31" s="6"/>
      <c r="M31" s="6"/>
      <c r="N31" s="6" t="str">
        <f t="shared" si="0"/>
        <v>Complete</v>
      </c>
    </row>
    <row r="32" spans="1:14" ht="49.95" customHeight="1">
      <c r="A32" s="6" t="s">
        <v>319</v>
      </c>
      <c r="B32" s="6" t="s">
        <v>717</v>
      </c>
      <c r="C32" s="6" t="s">
        <v>320</v>
      </c>
      <c r="D32" s="6" t="s">
        <v>319</v>
      </c>
      <c r="E32" s="6" t="s">
        <v>326</v>
      </c>
      <c r="F32" s="6" t="s">
        <v>327</v>
      </c>
      <c r="G32" s="6" t="s">
        <v>328</v>
      </c>
      <c r="H32" s="6" t="s">
        <v>329</v>
      </c>
      <c r="I32" s="6" t="s">
        <v>718</v>
      </c>
      <c r="J32" s="6" t="s">
        <v>719</v>
      </c>
      <c r="K32" s="6" t="s">
        <v>52</v>
      </c>
      <c r="L32" s="6"/>
      <c r="M32" s="6"/>
      <c r="N32" s="6" t="str">
        <f t="shared" si="0"/>
        <v>Complete</v>
      </c>
    </row>
    <row r="33" spans="1:14" ht="49.95" customHeight="1">
      <c r="A33" s="6" t="s">
        <v>331</v>
      </c>
      <c r="B33" s="6" t="s">
        <v>717</v>
      </c>
      <c r="C33" s="6" t="s">
        <v>332</v>
      </c>
      <c r="D33" s="6" t="s">
        <v>331</v>
      </c>
      <c r="E33" s="6" t="s">
        <v>338</v>
      </c>
      <c r="F33" s="6" t="s">
        <v>339</v>
      </c>
      <c r="G33" s="6" t="s">
        <v>340</v>
      </c>
      <c r="H33" s="6" t="s">
        <v>329</v>
      </c>
      <c r="I33" s="6" t="s">
        <v>718</v>
      </c>
      <c r="J33" s="6" t="s">
        <v>719</v>
      </c>
      <c r="K33" s="6" t="s">
        <v>52</v>
      </c>
      <c r="L33" s="6"/>
      <c r="M33" s="6"/>
      <c r="N33" s="6" t="str">
        <f t="shared" si="0"/>
        <v>Complete</v>
      </c>
    </row>
    <row r="34" spans="1:14" ht="49.95" customHeight="1">
      <c r="A34" s="6" t="s">
        <v>342</v>
      </c>
      <c r="B34" s="6" t="s">
        <v>717</v>
      </c>
      <c r="C34" s="6" t="s">
        <v>343</v>
      </c>
      <c r="D34" s="6" t="s">
        <v>342</v>
      </c>
      <c r="E34" s="6" t="s">
        <v>349</v>
      </c>
      <c r="F34" s="6" t="s">
        <v>350</v>
      </c>
      <c r="G34" s="6" t="s">
        <v>351</v>
      </c>
      <c r="H34" s="6" t="s">
        <v>352</v>
      </c>
      <c r="I34" s="6" t="s">
        <v>718</v>
      </c>
      <c r="J34" s="6" t="s">
        <v>719</v>
      </c>
      <c r="K34" s="6" t="s">
        <v>52</v>
      </c>
      <c r="L34" s="6"/>
      <c r="M34" s="6"/>
      <c r="N34" s="6" t="str">
        <f t="shared" si="0"/>
        <v>Complete</v>
      </c>
    </row>
    <row r="35" spans="1:14" ht="49.95" customHeight="1">
      <c r="A35" s="6" t="s">
        <v>354</v>
      </c>
      <c r="B35" s="6" t="s">
        <v>717</v>
      </c>
      <c r="C35" s="6" t="s">
        <v>355</v>
      </c>
      <c r="D35" s="6" t="s">
        <v>354</v>
      </c>
      <c r="E35" s="6" t="s">
        <v>361</v>
      </c>
      <c r="F35" s="6" t="s">
        <v>362</v>
      </c>
      <c r="G35" s="6" t="s">
        <v>363</v>
      </c>
      <c r="H35" s="6" t="s">
        <v>329</v>
      </c>
      <c r="I35" s="6" t="s">
        <v>718</v>
      </c>
      <c r="J35" s="6" t="s">
        <v>719</v>
      </c>
      <c r="K35" s="6" t="s">
        <v>52</v>
      </c>
      <c r="L35" s="6"/>
      <c r="M35" s="6"/>
      <c r="N35" s="6" t="str">
        <f t="shared" si="0"/>
        <v>Complete</v>
      </c>
    </row>
    <row r="36" spans="1:14" ht="49.95" customHeight="1">
      <c r="A36" s="6" t="s">
        <v>365</v>
      </c>
      <c r="B36" s="6" t="s">
        <v>717</v>
      </c>
      <c r="C36" s="6" t="s">
        <v>366</v>
      </c>
      <c r="D36" s="6" t="s">
        <v>365</v>
      </c>
      <c r="E36" s="6" t="s">
        <v>372</v>
      </c>
      <c r="F36" s="6" t="s">
        <v>373</v>
      </c>
      <c r="G36" s="6" t="s">
        <v>374</v>
      </c>
      <c r="H36" s="6" t="s">
        <v>375</v>
      </c>
      <c r="I36" s="6" t="s">
        <v>718</v>
      </c>
      <c r="J36" s="6" t="s">
        <v>719</v>
      </c>
      <c r="K36" s="6" t="s">
        <v>52</v>
      </c>
      <c r="L36" s="6"/>
      <c r="M36" s="6"/>
      <c r="N36" s="6" t="str">
        <f t="shared" si="0"/>
        <v>Complete</v>
      </c>
    </row>
    <row r="37" spans="1:14" ht="49.95" customHeight="1">
      <c r="A37" s="6" t="s">
        <v>377</v>
      </c>
      <c r="B37" s="6" t="s">
        <v>717</v>
      </c>
      <c r="C37" s="6" t="s">
        <v>378</v>
      </c>
      <c r="D37" s="6" t="s">
        <v>377</v>
      </c>
      <c r="E37" s="6" t="s">
        <v>384</v>
      </c>
      <c r="F37" s="6" t="s">
        <v>385</v>
      </c>
      <c r="G37" s="6" t="s">
        <v>386</v>
      </c>
      <c r="H37" s="6" t="s">
        <v>387</v>
      </c>
      <c r="I37" s="6" t="s">
        <v>718</v>
      </c>
      <c r="J37" s="6" t="s">
        <v>719</v>
      </c>
      <c r="K37" s="6" t="s">
        <v>52</v>
      </c>
      <c r="L37" s="6"/>
      <c r="M37" s="6"/>
      <c r="N37" s="6" t="str">
        <f t="shared" ref="N37:N68" si="1">IF(AND(E37&lt;&gt;"",F37&lt;&gt;""),"Complete","Review")</f>
        <v>Complete</v>
      </c>
    </row>
    <row r="38" spans="1:14" ht="49.95" customHeight="1">
      <c r="A38" s="6" t="s">
        <v>389</v>
      </c>
      <c r="B38" s="6" t="s">
        <v>717</v>
      </c>
      <c r="C38" s="6" t="s">
        <v>390</v>
      </c>
      <c r="D38" s="6" t="s">
        <v>389</v>
      </c>
      <c r="E38" s="6" t="s">
        <v>396</v>
      </c>
      <c r="F38" s="6" t="s">
        <v>397</v>
      </c>
      <c r="G38" s="6" t="s">
        <v>398</v>
      </c>
      <c r="H38" s="6" t="s">
        <v>352</v>
      </c>
      <c r="I38" s="6" t="s">
        <v>718</v>
      </c>
      <c r="J38" s="6" t="s">
        <v>719</v>
      </c>
      <c r="K38" s="6" t="s">
        <v>52</v>
      </c>
      <c r="L38" s="6"/>
      <c r="M38" s="6"/>
      <c r="N38" s="6" t="str">
        <f t="shared" si="1"/>
        <v>Complete</v>
      </c>
    </row>
    <row r="39" spans="1:14" ht="49.95" customHeight="1">
      <c r="A39" s="6" t="s">
        <v>399</v>
      </c>
      <c r="B39" s="6" t="s">
        <v>717</v>
      </c>
      <c r="C39" s="6" t="s">
        <v>400</v>
      </c>
      <c r="D39" s="6" t="s">
        <v>399</v>
      </c>
      <c r="E39" s="6" t="s">
        <v>406</v>
      </c>
      <c r="F39" s="6" t="s">
        <v>407</v>
      </c>
      <c r="G39" s="6" t="s">
        <v>408</v>
      </c>
      <c r="H39" s="6" t="s">
        <v>409</v>
      </c>
      <c r="I39" s="6" t="s">
        <v>718</v>
      </c>
      <c r="J39" s="6" t="s">
        <v>719</v>
      </c>
      <c r="K39" s="6" t="s">
        <v>52</v>
      </c>
      <c r="L39" s="6"/>
      <c r="M39" s="6"/>
      <c r="N39" s="6" t="str">
        <f t="shared" si="1"/>
        <v>Complete</v>
      </c>
    </row>
    <row r="40" spans="1:14" ht="49.95" customHeight="1">
      <c r="A40" s="6" t="s">
        <v>464</v>
      </c>
      <c r="B40" s="6" t="s">
        <v>721</v>
      </c>
      <c r="C40" s="6" t="s">
        <v>465</v>
      </c>
      <c r="D40" s="6" t="s">
        <v>466</v>
      </c>
      <c r="E40" s="6" t="s">
        <v>722</v>
      </c>
      <c r="F40" s="6" t="s">
        <v>723</v>
      </c>
      <c r="G40" s="6"/>
      <c r="H40" s="6"/>
      <c r="I40" s="6" t="s">
        <v>718</v>
      </c>
      <c r="J40" s="6" t="s">
        <v>724</v>
      </c>
      <c r="K40" s="6" t="s">
        <v>52</v>
      </c>
      <c r="L40" s="6"/>
      <c r="M40" s="6"/>
      <c r="N40" s="6" t="str">
        <f t="shared" si="1"/>
        <v>Complete</v>
      </c>
    </row>
    <row r="41" spans="1:14" ht="49.95" customHeight="1">
      <c r="A41" s="6" t="s">
        <v>467</v>
      </c>
      <c r="B41" s="6" t="s">
        <v>721</v>
      </c>
      <c r="C41" s="6" t="s">
        <v>468</v>
      </c>
      <c r="D41" s="6" t="s">
        <v>469</v>
      </c>
      <c r="E41" s="6" t="s">
        <v>725</v>
      </c>
      <c r="F41" s="6" t="s">
        <v>726</v>
      </c>
      <c r="G41" s="6"/>
      <c r="H41" s="6"/>
      <c r="I41" s="6" t="s">
        <v>718</v>
      </c>
      <c r="J41" s="6" t="s">
        <v>724</v>
      </c>
      <c r="K41" s="6" t="s">
        <v>52</v>
      </c>
      <c r="L41" s="6"/>
      <c r="M41" s="6"/>
      <c r="N41" s="6" t="str">
        <f t="shared" si="1"/>
        <v>Complete</v>
      </c>
    </row>
    <row r="42" spans="1:14" ht="49.95" customHeight="1">
      <c r="A42" s="6" t="s">
        <v>470</v>
      </c>
      <c r="B42" s="6" t="s">
        <v>721</v>
      </c>
      <c r="C42" s="6" t="s">
        <v>471</v>
      </c>
      <c r="D42" s="6" t="s">
        <v>472</v>
      </c>
      <c r="E42" s="6" t="s">
        <v>727</v>
      </c>
      <c r="F42" s="6" t="s">
        <v>728</v>
      </c>
      <c r="G42" s="6"/>
      <c r="H42" s="6"/>
      <c r="I42" s="6" t="s">
        <v>718</v>
      </c>
      <c r="J42" s="6" t="s">
        <v>724</v>
      </c>
      <c r="K42" s="6" t="s">
        <v>52</v>
      </c>
      <c r="L42" s="6"/>
      <c r="M42" s="6"/>
      <c r="N42" s="6" t="str">
        <f t="shared" si="1"/>
        <v>Complete</v>
      </c>
    </row>
    <row r="43" spans="1:14" ht="49.95" customHeight="1">
      <c r="A43" s="6" t="s">
        <v>473</v>
      </c>
      <c r="B43" s="6" t="s">
        <v>721</v>
      </c>
      <c r="C43" s="6" t="s">
        <v>474</v>
      </c>
      <c r="D43" s="6" t="s">
        <v>475</v>
      </c>
      <c r="E43" s="6" t="s">
        <v>729</v>
      </c>
      <c r="F43" s="6" t="s">
        <v>730</v>
      </c>
      <c r="G43" s="6"/>
      <c r="H43" s="6"/>
      <c r="I43" s="6" t="s">
        <v>718</v>
      </c>
      <c r="J43" s="6" t="s">
        <v>724</v>
      </c>
      <c r="K43" s="6" t="s">
        <v>52</v>
      </c>
      <c r="L43" s="6"/>
      <c r="M43" s="6"/>
      <c r="N43" s="6" t="str">
        <f t="shared" si="1"/>
        <v>Complete</v>
      </c>
    </row>
    <row r="44" spans="1:14" ht="49.95" customHeight="1">
      <c r="A44" s="6" t="s">
        <v>476</v>
      </c>
      <c r="B44" s="6" t="s">
        <v>721</v>
      </c>
      <c r="C44" s="6" t="s">
        <v>477</v>
      </c>
      <c r="D44" s="6" t="s">
        <v>478</v>
      </c>
      <c r="E44" s="6" t="s">
        <v>731</v>
      </c>
      <c r="F44" s="6" t="s">
        <v>732</v>
      </c>
      <c r="G44" s="6" t="s">
        <v>733</v>
      </c>
      <c r="H44" s="6" t="s">
        <v>375</v>
      </c>
      <c r="I44" s="6" t="s">
        <v>718</v>
      </c>
      <c r="J44" s="6" t="s">
        <v>734</v>
      </c>
      <c r="K44" s="6" t="s">
        <v>52</v>
      </c>
      <c r="L44" s="6"/>
      <c r="M44" s="6"/>
      <c r="N44" s="6" t="str">
        <f t="shared" si="1"/>
        <v>Complete</v>
      </c>
    </row>
    <row r="45" spans="1:14" ht="49.95" customHeight="1">
      <c r="A45" s="6" t="s">
        <v>479</v>
      </c>
      <c r="B45" s="6" t="s">
        <v>721</v>
      </c>
      <c r="C45" s="6" t="s">
        <v>480</v>
      </c>
      <c r="D45" s="6" t="s">
        <v>481</v>
      </c>
      <c r="E45" s="6" t="s">
        <v>735</v>
      </c>
      <c r="F45" s="6" t="s">
        <v>736</v>
      </c>
      <c r="G45" s="6"/>
      <c r="H45" s="6"/>
      <c r="I45" s="6" t="s">
        <v>718</v>
      </c>
      <c r="J45" s="6" t="s">
        <v>724</v>
      </c>
      <c r="K45" s="6" t="s">
        <v>52</v>
      </c>
      <c r="L45" s="6"/>
      <c r="M45" s="6"/>
      <c r="N45" s="6" t="str">
        <f t="shared" si="1"/>
        <v>Complete</v>
      </c>
    </row>
    <row r="46" spans="1:14" ht="49.95" customHeight="1">
      <c r="A46" s="6" t="s">
        <v>482</v>
      </c>
      <c r="B46" s="6" t="s">
        <v>721</v>
      </c>
      <c r="C46" s="6" t="s">
        <v>483</v>
      </c>
      <c r="D46" s="6" t="s">
        <v>484</v>
      </c>
      <c r="E46" s="6" t="s">
        <v>737</v>
      </c>
      <c r="F46" s="6" t="s">
        <v>738</v>
      </c>
      <c r="G46" s="6"/>
      <c r="H46" s="6"/>
      <c r="I46" s="6" t="s">
        <v>718</v>
      </c>
      <c r="J46" s="6" t="s">
        <v>724</v>
      </c>
      <c r="K46" s="6" t="s">
        <v>52</v>
      </c>
      <c r="L46" s="6"/>
      <c r="M46" s="6"/>
      <c r="N46" s="6" t="str">
        <f t="shared" si="1"/>
        <v>Complete</v>
      </c>
    </row>
    <row r="47" spans="1:14" ht="49.95" customHeight="1">
      <c r="A47" s="6" t="s">
        <v>485</v>
      </c>
      <c r="B47" s="6" t="s">
        <v>721</v>
      </c>
      <c r="C47" s="6" t="s">
        <v>486</v>
      </c>
      <c r="D47" s="6" t="s">
        <v>487</v>
      </c>
      <c r="E47" s="6" t="s">
        <v>739</v>
      </c>
      <c r="F47" s="6" t="s">
        <v>740</v>
      </c>
      <c r="G47" s="6"/>
      <c r="H47" s="6"/>
      <c r="I47" s="6" t="s">
        <v>718</v>
      </c>
      <c r="J47" s="6" t="s">
        <v>724</v>
      </c>
      <c r="K47" s="6" t="s">
        <v>52</v>
      </c>
      <c r="L47" s="6"/>
      <c r="M47" s="6"/>
      <c r="N47" s="6" t="str">
        <f t="shared" si="1"/>
        <v>Complete</v>
      </c>
    </row>
    <row r="48" spans="1:14" ht="49.95" customHeight="1">
      <c r="A48" s="6" t="s">
        <v>488</v>
      </c>
      <c r="B48" s="6" t="s">
        <v>721</v>
      </c>
      <c r="C48" s="6" t="s">
        <v>489</v>
      </c>
      <c r="D48" s="6" t="s">
        <v>490</v>
      </c>
      <c r="E48" s="6" t="s">
        <v>741</v>
      </c>
      <c r="F48" s="6" t="s">
        <v>742</v>
      </c>
      <c r="G48" s="6"/>
      <c r="H48" s="6"/>
      <c r="I48" s="6" t="s">
        <v>718</v>
      </c>
      <c r="J48" s="6" t="s">
        <v>724</v>
      </c>
      <c r="K48" s="6" t="s">
        <v>52</v>
      </c>
      <c r="L48" s="6"/>
      <c r="M48" s="6"/>
      <c r="N48" s="6" t="str">
        <f t="shared" si="1"/>
        <v>Complete</v>
      </c>
    </row>
    <row r="49" spans="1:14" ht="49.95" customHeight="1">
      <c r="A49" s="6" t="s">
        <v>491</v>
      </c>
      <c r="B49" s="6" t="s">
        <v>721</v>
      </c>
      <c r="C49" s="6" t="s">
        <v>492</v>
      </c>
      <c r="D49" s="6" t="s">
        <v>481</v>
      </c>
      <c r="E49" s="6" t="s">
        <v>743</v>
      </c>
      <c r="F49" s="6" t="s">
        <v>744</v>
      </c>
      <c r="G49" s="6"/>
      <c r="H49" s="6"/>
      <c r="I49" s="6" t="s">
        <v>718</v>
      </c>
      <c r="J49" s="6" t="s">
        <v>724</v>
      </c>
      <c r="K49" s="6" t="s">
        <v>52</v>
      </c>
      <c r="L49" s="6"/>
      <c r="M49" s="6"/>
      <c r="N49" s="6" t="str">
        <f t="shared" si="1"/>
        <v>Complete</v>
      </c>
    </row>
    <row r="50" spans="1:14" ht="49.95" customHeight="1">
      <c r="A50" s="6" t="s">
        <v>493</v>
      </c>
      <c r="B50" s="6" t="s">
        <v>721</v>
      </c>
      <c r="C50" s="6" t="s">
        <v>494</v>
      </c>
      <c r="D50" s="6" t="s">
        <v>495</v>
      </c>
      <c r="E50" s="6" t="s">
        <v>745</v>
      </c>
      <c r="F50" s="6" t="s">
        <v>746</v>
      </c>
      <c r="G50" s="6"/>
      <c r="H50" s="6"/>
      <c r="I50" s="6" t="s">
        <v>718</v>
      </c>
      <c r="J50" s="6" t="s">
        <v>724</v>
      </c>
      <c r="K50" s="6" t="s">
        <v>52</v>
      </c>
      <c r="L50" s="6"/>
      <c r="M50" s="6"/>
      <c r="N50" s="6" t="str">
        <f t="shared" si="1"/>
        <v>Complete</v>
      </c>
    </row>
    <row r="51" spans="1:14" ht="49.95" customHeight="1">
      <c r="A51" s="6" t="s">
        <v>496</v>
      </c>
      <c r="B51" s="6" t="s">
        <v>721</v>
      </c>
      <c r="C51" s="6" t="s">
        <v>497</v>
      </c>
      <c r="D51" s="6" t="s">
        <v>498</v>
      </c>
      <c r="E51" s="6" t="s">
        <v>747</v>
      </c>
      <c r="F51" s="6" t="s">
        <v>748</v>
      </c>
      <c r="G51" s="6"/>
      <c r="H51" s="6"/>
      <c r="I51" s="6" t="s">
        <v>718</v>
      </c>
      <c r="J51" s="6" t="s">
        <v>724</v>
      </c>
      <c r="K51" s="6" t="s">
        <v>52</v>
      </c>
      <c r="L51" s="6"/>
      <c r="M51" s="6"/>
      <c r="N51" s="6" t="str">
        <f t="shared" si="1"/>
        <v>Complete</v>
      </c>
    </row>
    <row r="52" spans="1:14" ht="49.95" customHeight="1">
      <c r="A52" s="6" t="s">
        <v>499</v>
      </c>
      <c r="B52" s="6" t="s">
        <v>721</v>
      </c>
      <c r="C52" s="6" t="s">
        <v>500</v>
      </c>
      <c r="D52" s="6" t="s">
        <v>481</v>
      </c>
      <c r="E52" s="6" t="s">
        <v>749</v>
      </c>
      <c r="F52" s="6" t="s">
        <v>750</v>
      </c>
      <c r="G52" s="6"/>
      <c r="H52" s="6"/>
      <c r="I52" s="6" t="s">
        <v>718</v>
      </c>
      <c r="J52" s="6" t="s">
        <v>724</v>
      </c>
      <c r="K52" s="6" t="s">
        <v>52</v>
      </c>
      <c r="L52" s="6"/>
      <c r="M52" s="6"/>
      <c r="N52" s="6" t="str">
        <f t="shared" si="1"/>
        <v>Complete</v>
      </c>
    </row>
    <row r="53" spans="1:14" ht="49.95" customHeight="1">
      <c r="A53" s="6" t="s">
        <v>501</v>
      </c>
      <c r="B53" s="6" t="s">
        <v>721</v>
      </c>
      <c r="C53" s="6" t="s">
        <v>502</v>
      </c>
      <c r="D53" s="6" t="s">
        <v>503</v>
      </c>
      <c r="E53" s="6" t="s">
        <v>751</v>
      </c>
      <c r="F53" s="6" t="s">
        <v>752</v>
      </c>
      <c r="G53" s="6"/>
      <c r="H53" s="6"/>
      <c r="I53" s="6" t="s">
        <v>718</v>
      </c>
      <c r="J53" s="6" t="s">
        <v>724</v>
      </c>
      <c r="K53" s="6" t="s">
        <v>52</v>
      </c>
      <c r="L53" s="6"/>
      <c r="M53" s="6"/>
      <c r="N53" s="6" t="str">
        <f t="shared" si="1"/>
        <v>Complete</v>
      </c>
    </row>
    <row r="54" spans="1:14" ht="49.95" customHeight="1">
      <c r="A54" s="6" t="s">
        <v>504</v>
      </c>
      <c r="B54" s="6" t="s">
        <v>721</v>
      </c>
      <c r="C54" s="6" t="s">
        <v>505</v>
      </c>
      <c r="D54" s="6" t="s">
        <v>481</v>
      </c>
      <c r="E54" s="6" t="s">
        <v>753</v>
      </c>
      <c r="F54" s="6" t="s">
        <v>754</v>
      </c>
      <c r="G54" s="6" t="s">
        <v>755</v>
      </c>
      <c r="H54" s="6"/>
      <c r="I54" s="6" t="s">
        <v>718</v>
      </c>
      <c r="J54" s="6" t="s">
        <v>724</v>
      </c>
      <c r="K54" s="6" t="s">
        <v>52</v>
      </c>
      <c r="L54" s="6"/>
      <c r="M54" s="6"/>
      <c r="N54" s="6" t="str">
        <f t="shared" si="1"/>
        <v>Complete</v>
      </c>
    </row>
    <row r="55" spans="1:14" ht="49.95" customHeight="1">
      <c r="A55" s="6" t="s">
        <v>506</v>
      </c>
      <c r="B55" s="6" t="s">
        <v>721</v>
      </c>
      <c r="C55" s="6" t="s">
        <v>507</v>
      </c>
      <c r="D55" s="6" t="s">
        <v>508</v>
      </c>
      <c r="E55" s="6" t="s">
        <v>756</v>
      </c>
      <c r="F55" s="6" t="s">
        <v>757</v>
      </c>
      <c r="G55" s="6" t="s">
        <v>758</v>
      </c>
      <c r="H55" s="6"/>
      <c r="I55" s="6" t="s">
        <v>718</v>
      </c>
      <c r="J55" s="6" t="s">
        <v>724</v>
      </c>
      <c r="K55" s="6" t="s">
        <v>52</v>
      </c>
      <c r="L55" s="6"/>
      <c r="M55" s="6"/>
      <c r="N55" s="6" t="str">
        <f t="shared" si="1"/>
        <v>Complete</v>
      </c>
    </row>
    <row r="56" spans="1:14" ht="49.95" customHeight="1">
      <c r="A56" s="6" t="s">
        <v>509</v>
      </c>
      <c r="B56" s="6" t="s">
        <v>721</v>
      </c>
      <c r="C56" s="6" t="s">
        <v>510</v>
      </c>
      <c r="D56" s="6" t="s">
        <v>511</v>
      </c>
      <c r="E56" s="6" t="s">
        <v>759</v>
      </c>
      <c r="F56" s="6" t="s">
        <v>760</v>
      </c>
      <c r="G56" s="6" t="s">
        <v>761</v>
      </c>
      <c r="H56" s="6"/>
      <c r="I56" s="6" t="s">
        <v>718</v>
      </c>
      <c r="J56" s="6" t="s">
        <v>724</v>
      </c>
      <c r="K56" s="6" t="s">
        <v>52</v>
      </c>
      <c r="L56" s="6"/>
      <c r="M56" s="6"/>
      <c r="N56" s="6" t="str">
        <f t="shared" si="1"/>
        <v>Complete</v>
      </c>
    </row>
    <row r="57" spans="1:14" ht="49.95" customHeight="1">
      <c r="A57" s="6" t="s">
        <v>512</v>
      </c>
      <c r="B57" s="6" t="s">
        <v>721</v>
      </c>
      <c r="C57" s="6" t="s">
        <v>513</v>
      </c>
      <c r="D57" s="6" t="s">
        <v>514</v>
      </c>
      <c r="E57" s="6" t="s">
        <v>762</v>
      </c>
      <c r="F57" s="6" t="s">
        <v>763</v>
      </c>
      <c r="G57" s="6" t="s">
        <v>764</v>
      </c>
      <c r="H57" s="6"/>
      <c r="I57" s="6" t="s">
        <v>718</v>
      </c>
      <c r="J57" s="6" t="s">
        <v>724</v>
      </c>
      <c r="K57" s="6" t="s">
        <v>52</v>
      </c>
      <c r="L57" s="6"/>
      <c r="M57" s="6"/>
      <c r="N57" s="6" t="str">
        <f t="shared" si="1"/>
        <v>Complete</v>
      </c>
    </row>
    <row r="58" spans="1:14" ht="49.95" customHeight="1">
      <c r="A58" s="6" t="s">
        <v>515</v>
      </c>
      <c r="B58" s="6" t="s">
        <v>721</v>
      </c>
      <c r="C58" s="6" t="s">
        <v>516</v>
      </c>
      <c r="D58" s="6" t="s">
        <v>517</v>
      </c>
      <c r="E58" s="6" t="s">
        <v>765</v>
      </c>
      <c r="F58" s="6" t="s">
        <v>766</v>
      </c>
      <c r="G58" s="6" t="s">
        <v>767</v>
      </c>
      <c r="H58" s="6"/>
      <c r="I58" s="6" t="s">
        <v>718</v>
      </c>
      <c r="J58" s="6" t="s">
        <v>724</v>
      </c>
      <c r="K58" s="6" t="s">
        <v>52</v>
      </c>
      <c r="L58" s="6"/>
      <c r="M58" s="6"/>
      <c r="N58" s="6" t="str">
        <f t="shared" si="1"/>
        <v>Complete</v>
      </c>
    </row>
    <row r="59" spans="1:14" ht="49.95" customHeight="1">
      <c r="A59" s="6" t="s">
        <v>518</v>
      </c>
      <c r="B59" s="6" t="s">
        <v>721</v>
      </c>
      <c r="C59" s="6" t="s">
        <v>519</v>
      </c>
      <c r="D59" s="6" t="s">
        <v>520</v>
      </c>
      <c r="E59" s="6" t="s">
        <v>768</v>
      </c>
      <c r="F59" s="6" t="s">
        <v>769</v>
      </c>
      <c r="G59" s="6" t="s">
        <v>770</v>
      </c>
      <c r="H59" s="6"/>
      <c r="I59" s="6" t="s">
        <v>718</v>
      </c>
      <c r="J59" s="6" t="s">
        <v>724</v>
      </c>
      <c r="K59" s="6" t="s">
        <v>52</v>
      </c>
      <c r="L59" s="6"/>
      <c r="M59" s="6"/>
      <c r="N59" s="6" t="str">
        <f t="shared" si="1"/>
        <v>Complete</v>
      </c>
    </row>
    <row r="60" spans="1:14" ht="49.95" customHeight="1">
      <c r="A60" s="6" t="s">
        <v>521</v>
      </c>
      <c r="B60" s="6" t="s">
        <v>721</v>
      </c>
      <c r="C60" s="6" t="s">
        <v>522</v>
      </c>
      <c r="D60" s="6" t="s">
        <v>523</v>
      </c>
      <c r="E60" s="6" t="s">
        <v>771</v>
      </c>
      <c r="F60" s="6" t="s">
        <v>772</v>
      </c>
      <c r="G60" s="6" t="s">
        <v>773</v>
      </c>
      <c r="H60" s="6"/>
      <c r="I60" s="6" t="s">
        <v>718</v>
      </c>
      <c r="J60" s="6" t="s">
        <v>724</v>
      </c>
      <c r="K60" s="6" t="s">
        <v>52</v>
      </c>
      <c r="L60" s="6"/>
      <c r="M60" s="6"/>
      <c r="N60" s="6" t="str">
        <f t="shared" si="1"/>
        <v>Complete</v>
      </c>
    </row>
    <row r="61" spans="1:14" ht="49.95" customHeight="1">
      <c r="A61" s="6" t="s">
        <v>524</v>
      </c>
      <c r="B61" s="6" t="s">
        <v>721</v>
      </c>
      <c r="C61" s="6" t="s">
        <v>525</v>
      </c>
      <c r="D61" s="6" t="s">
        <v>481</v>
      </c>
      <c r="E61" s="6" t="s">
        <v>774</v>
      </c>
      <c r="F61" s="6" t="s">
        <v>775</v>
      </c>
      <c r="G61" s="6" t="s">
        <v>776</v>
      </c>
      <c r="H61" s="6"/>
      <c r="I61" s="6" t="s">
        <v>718</v>
      </c>
      <c r="J61" s="6" t="s">
        <v>724</v>
      </c>
      <c r="K61" s="6" t="s">
        <v>52</v>
      </c>
      <c r="L61" s="6"/>
      <c r="M61" s="6"/>
      <c r="N61" s="6" t="str">
        <f t="shared" si="1"/>
        <v>Complete</v>
      </c>
    </row>
    <row r="62" spans="1:14" ht="49.95" customHeight="1">
      <c r="A62" s="6" t="s">
        <v>526</v>
      </c>
      <c r="B62" s="6" t="s">
        <v>721</v>
      </c>
      <c r="C62" s="6" t="s">
        <v>527</v>
      </c>
      <c r="D62" s="6" t="s">
        <v>528</v>
      </c>
      <c r="E62" s="6" t="s">
        <v>777</v>
      </c>
      <c r="F62" s="6" t="s">
        <v>778</v>
      </c>
      <c r="G62" s="6" t="s">
        <v>779</v>
      </c>
      <c r="H62" s="6"/>
      <c r="I62" s="6" t="s">
        <v>718</v>
      </c>
      <c r="J62" s="6" t="s">
        <v>724</v>
      </c>
      <c r="K62" s="6" t="s">
        <v>52</v>
      </c>
      <c r="L62" s="6"/>
      <c r="M62" s="6"/>
      <c r="N62" s="6" t="str">
        <f t="shared" si="1"/>
        <v>Complete</v>
      </c>
    </row>
    <row r="63" spans="1:14" ht="49.95" customHeight="1">
      <c r="A63" s="6" t="s">
        <v>529</v>
      </c>
      <c r="B63" s="6" t="s">
        <v>721</v>
      </c>
      <c r="C63" s="6" t="s">
        <v>530</v>
      </c>
      <c r="D63" s="6" t="s">
        <v>531</v>
      </c>
      <c r="E63" s="6" t="s">
        <v>780</v>
      </c>
      <c r="F63" s="6" t="s">
        <v>781</v>
      </c>
      <c r="G63" s="6" t="s">
        <v>782</v>
      </c>
      <c r="H63" s="6"/>
      <c r="I63" s="6" t="s">
        <v>718</v>
      </c>
      <c r="J63" s="6" t="s">
        <v>724</v>
      </c>
      <c r="K63" s="6" t="s">
        <v>52</v>
      </c>
      <c r="L63" s="6"/>
      <c r="M63" s="6"/>
      <c r="N63" s="6" t="str">
        <f t="shared" si="1"/>
        <v>Complete</v>
      </c>
    </row>
    <row r="64" spans="1:14" ht="49.95" customHeight="1">
      <c r="A64" s="6" t="s">
        <v>532</v>
      </c>
      <c r="B64" s="6" t="s">
        <v>721</v>
      </c>
      <c r="C64" s="6" t="s">
        <v>533</v>
      </c>
      <c r="D64" s="6" t="s">
        <v>534</v>
      </c>
      <c r="E64" s="6" t="s">
        <v>783</v>
      </c>
      <c r="F64" s="6" t="s">
        <v>784</v>
      </c>
      <c r="G64" s="6" t="s">
        <v>785</v>
      </c>
      <c r="H64" s="6"/>
      <c r="I64" s="6" t="s">
        <v>718</v>
      </c>
      <c r="J64" s="6" t="s">
        <v>724</v>
      </c>
      <c r="K64" s="6" t="s">
        <v>52</v>
      </c>
      <c r="L64" s="6"/>
      <c r="M64" s="6"/>
      <c r="N64" s="6" t="str">
        <f t="shared" si="1"/>
        <v>Complete</v>
      </c>
    </row>
    <row r="65" spans="1:14" ht="49.95" customHeight="1">
      <c r="A65" s="6" t="s">
        <v>535</v>
      </c>
      <c r="B65" s="6" t="s">
        <v>721</v>
      </c>
      <c r="C65" s="6" t="s">
        <v>536</v>
      </c>
      <c r="D65" s="6" t="s">
        <v>508</v>
      </c>
      <c r="E65" s="6" t="s">
        <v>786</v>
      </c>
      <c r="F65" s="6" t="s">
        <v>787</v>
      </c>
      <c r="G65" s="6" t="s">
        <v>788</v>
      </c>
      <c r="H65" s="6"/>
      <c r="I65" s="6" t="s">
        <v>718</v>
      </c>
      <c r="J65" s="6" t="s">
        <v>724</v>
      </c>
      <c r="K65" s="6" t="s">
        <v>52</v>
      </c>
      <c r="L65" s="6"/>
      <c r="M65" s="6"/>
      <c r="N65" s="6" t="str">
        <f t="shared" si="1"/>
        <v>Complete</v>
      </c>
    </row>
    <row r="66" spans="1:14" ht="49.95" customHeight="1">
      <c r="A66" s="6" t="s">
        <v>537</v>
      </c>
      <c r="B66" s="6" t="s">
        <v>721</v>
      </c>
      <c r="C66" s="6" t="s">
        <v>538</v>
      </c>
      <c r="D66" s="6" t="s">
        <v>539</v>
      </c>
      <c r="E66" s="6" t="s">
        <v>789</v>
      </c>
      <c r="F66" s="6" t="s">
        <v>790</v>
      </c>
      <c r="G66" s="6" t="s">
        <v>791</v>
      </c>
      <c r="H66" s="6" t="s">
        <v>409</v>
      </c>
      <c r="I66" s="6" t="s">
        <v>718</v>
      </c>
      <c r="J66" s="6" t="s">
        <v>734</v>
      </c>
      <c r="K66" s="6" t="s">
        <v>52</v>
      </c>
      <c r="L66" s="6"/>
      <c r="M66" s="6"/>
      <c r="N66" s="6" t="str">
        <f t="shared" si="1"/>
        <v>Complete</v>
      </c>
    </row>
    <row r="67" spans="1:14" ht="49.95" customHeight="1">
      <c r="A67" s="6" t="s">
        <v>540</v>
      </c>
      <c r="B67" s="6" t="s">
        <v>721</v>
      </c>
      <c r="C67" s="6" t="s">
        <v>541</v>
      </c>
      <c r="D67" s="6" t="s">
        <v>542</v>
      </c>
      <c r="E67" s="6" t="s">
        <v>792</v>
      </c>
      <c r="F67" s="6" t="s">
        <v>793</v>
      </c>
      <c r="G67" s="6" t="s">
        <v>794</v>
      </c>
      <c r="H67" s="6" t="s">
        <v>409</v>
      </c>
      <c r="I67" s="6" t="s">
        <v>718</v>
      </c>
      <c r="J67" s="6" t="s">
        <v>734</v>
      </c>
      <c r="K67" s="6" t="s">
        <v>52</v>
      </c>
      <c r="L67" s="6"/>
      <c r="M67" s="6"/>
      <c r="N67" s="6" t="str">
        <f t="shared" si="1"/>
        <v>Complete</v>
      </c>
    </row>
    <row r="68" spans="1:14" ht="49.95" customHeight="1">
      <c r="A68" s="6" t="s">
        <v>543</v>
      </c>
      <c r="B68" s="6" t="s">
        <v>721</v>
      </c>
      <c r="C68" s="6" t="s">
        <v>544</v>
      </c>
      <c r="D68" s="6" t="s">
        <v>545</v>
      </c>
      <c r="E68" s="6" t="s">
        <v>795</v>
      </c>
      <c r="F68" s="6" t="s">
        <v>796</v>
      </c>
      <c r="G68" s="6" t="s">
        <v>797</v>
      </c>
      <c r="H68" s="6" t="s">
        <v>409</v>
      </c>
      <c r="I68" s="6" t="s">
        <v>718</v>
      </c>
      <c r="J68" s="6" t="s">
        <v>734</v>
      </c>
      <c r="K68" s="6" t="s">
        <v>52</v>
      </c>
      <c r="L68" s="6"/>
      <c r="M68" s="6"/>
      <c r="N68" s="6" t="str">
        <f t="shared" si="1"/>
        <v>Complete</v>
      </c>
    </row>
    <row r="69" spans="1:14" ht="49.95" customHeight="1">
      <c r="A69" s="6" t="s">
        <v>546</v>
      </c>
      <c r="B69" s="6" t="s">
        <v>721</v>
      </c>
      <c r="C69" s="6" t="s">
        <v>547</v>
      </c>
      <c r="D69" s="6" t="s">
        <v>548</v>
      </c>
      <c r="E69" s="6" t="s">
        <v>798</v>
      </c>
      <c r="F69" s="6" t="s">
        <v>799</v>
      </c>
      <c r="G69" s="6" t="s">
        <v>800</v>
      </c>
      <c r="H69" s="6" t="s">
        <v>409</v>
      </c>
      <c r="I69" s="6" t="s">
        <v>718</v>
      </c>
      <c r="J69" s="6" t="s">
        <v>734</v>
      </c>
      <c r="K69" s="6" t="s">
        <v>52</v>
      </c>
      <c r="L69" s="6"/>
      <c r="M69" s="6"/>
      <c r="N69" s="6" t="str">
        <f t="shared" ref="N69:N85" si="2">IF(AND(E69&lt;&gt;"",F69&lt;&gt;""),"Complete","Review")</f>
        <v>Complete</v>
      </c>
    </row>
    <row r="70" spans="1:14" ht="49.95" customHeight="1">
      <c r="A70" s="6" t="s">
        <v>549</v>
      </c>
      <c r="B70" s="6" t="s">
        <v>721</v>
      </c>
      <c r="C70" s="6" t="s">
        <v>550</v>
      </c>
      <c r="D70" s="6" t="s">
        <v>551</v>
      </c>
      <c r="E70" s="6" t="s">
        <v>801</v>
      </c>
      <c r="F70" s="6" t="s">
        <v>802</v>
      </c>
      <c r="G70" s="6"/>
      <c r="H70" s="6"/>
      <c r="I70" s="6" t="s">
        <v>718</v>
      </c>
      <c r="J70" s="6" t="s">
        <v>724</v>
      </c>
      <c r="K70" s="6" t="s">
        <v>52</v>
      </c>
      <c r="L70" s="6"/>
      <c r="M70" s="6"/>
      <c r="N70" s="6" t="str">
        <f t="shared" si="2"/>
        <v>Complete</v>
      </c>
    </row>
    <row r="71" spans="1:14" ht="49.95" customHeight="1">
      <c r="A71" s="6" t="s">
        <v>552</v>
      </c>
      <c r="B71" s="6" t="s">
        <v>721</v>
      </c>
      <c r="C71" s="6" t="s">
        <v>553</v>
      </c>
      <c r="D71" s="6" t="s">
        <v>554</v>
      </c>
      <c r="E71" s="6" t="s">
        <v>803</v>
      </c>
      <c r="F71" s="6" t="s">
        <v>804</v>
      </c>
      <c r="G71" s="6"/>
      <c r="H71" s="6"/>
      <c r="I71" s="6" t="s">
        <v>718</v>
      </c>
      <c r="J71" s="6" t="s">
        <v>724</v>
      </c>
      <c r="K71" s="6" t="s">
        <v>52</v>
      </c>
      <c r="L71" s="6"/>
      <c r="M71" s="6"/>
      <c r="N71" s="6" t="str">
        <f t="shared" si="2"/>
        <v>Complete</v>
      </c>
    </row>
    <row r="72" spans="1:14" ht="49.95" customHeight="1">
      <c r="A72" s="6" t="s">
        <v>555</v>
      </c>
      <c r="B72" s="6" t="s">
        <v>721</v>
      </c>
      <c r="C72" s="6" t="s">
        <v>556</v>
      </c>
      <c r="D72" s="6" t="s">
        <v>481</v>
      </c>
      <c r="E72" s="6" t="s">
        <v>805</v>
      </c>
      <c r="F72" s="6" t="s">
        <v>806</v>
      </c>
      <c r="G72" s="6"/>
      <c r="H72" s="6"/>
      <c r="I72" s="6" t="s">
        <v>718</v>
      </c>
      <c r="J72" s="6" t="s">
        <v>724</v>
      </c>
      <c r="K72" s="6" t="s">
        <v>52</v>
      </c>
      <c r="L72" s="6"/>
      <c r="M72" s="6"/>
      <c r="N72" s="6" t="str">
        <f t="shared" si="2"/>
        <v>Complete</v>
      </c>
    </row>
    <row r="73" spans="1:14" ht="49.95" customHeight="1">
      <c r="A73" s="6" t="s">
        <v>557</v>
      </c>
      <c r="B73" s="6" t="s">
        <v>721</v>
      </c>
      <c r="C73" s="6" t="s">
        <v>558</v>
      </c>
      <c r="D73" s="6" t="s">
        <v>559</v>
      </c>
      <c r="E73" s="6" t="s">
        <v>807</v>
      </c>
      <c r="F73" s="6" t="s">
        <v>808</v>
      </c>
      <c r="G73" s="6"/>
      <c r="H73" s="6"/>
      <c r="I73" s="6" t="s">
        <v>718</v>
      </c>
      <c r="J73" s="6" t="s">
        <v>724</v>
      </c>
      <c r="K73" s="6" t="s">
        <v>52</v>
      </c>
      <c r="L73" s="6"/>
      <c r="M73" s="6"/>
      <c r="N73" s="6" t="str">
        <f t="shared" si="2"/>
        <v>Complete</v>
      </c>
    </row>
    <row r="74" spans="1:14" ht="49.95" customHeight="1">
      <c r="A74" s="6" t="s">
        <v>560</v>
      </c>
      <c r="B74" s="6" t="s">
        <v>721</v>
      </c>
      <c r="C74" s="6" t="s">
        <v>561</v>
      </c>
      <c r="D74" s="6" t="s">
        <v>481</v>
      </c>
      <c r="E74" s="6" t="s">
        <v>809</v>
      </c>
      <c r="F74" s="6" t="s">
        <v>810</v>
      </c>
      <c r="G74" s="6" t="s">
        <v>811</v>
      </c>
      <c r="H74" s="6"/>
      <c r="I74" s="6" t="s">
        <v>718</v>
      </c>
      <c r="J74" s="6" t="s">
        <v>724</v>
      </c>
      <c r="K74" s="6" t="s">
        <v>52</v>
      </c>
      <c r="L74" s="6"/>
      <c r="M74" s="6"/>
      <c r="N74" s="6" t="str">
        <f t="shared" si="2"/>
        <v>Complete</v>
      </c>
    </row>
    <row r="75" spans="1:14" ht="49.95" customHeight="1">
      <c r="A75" s="6" t="s">
        <v>562</v>
      </c>
      <c r="B75" s="6" t="s">
        <v>721</v>
      </c>
      <c r="C75" s="6" t="s">
        <v>563</v>
      </c>
      <c r="D75" s="6" t="s">
        <v>564</v>
      </c>
      <c r="E75" s="6" t="s">
        <v>812</v>
      </c>
      <c r="F75" s="6" t="s">
        <v>813</v>
      </c>
      <c r="G75" s="6" t="s">
        <v>814</v>
      </c>
      <c r="H75" s="6"/>
      <c r="I75" s="6" t="s">
        <v>718</v>
      </c>
      <c r="J75" s="6" t="s">
        <v>724</v>
      </c>
      <c r="K75" s="6" t="s">
        <v>52</v>
      </c>
      <c r="L75" s="6"/>
      <c r="M75" s="6"/>
      <c r="N75" s="6" t="str">
        <f t="shared" si="2"/>
        <v>Complete</v>
      </c>
    </row>
    <row r="76" spans="1:14" ht="49.95" customHeight="1">
      <c r="A76" s="6" t="s">
        <v>565</v>
      </c>
      <c r="B76" s="6" t="s">
        <v>721</v>
      </c>
      <c r="C76" s="6" t="s">
        <v>566</v>
      </c>
      <c r="D76" s="6" t="s">
        <v>567</v>
      </c>
      <c r="E76" s="6" t="s">
        <v>815</v>
      </c>
      <c r="F76" s="6" t="s">
        <v>816</v>
      </c>
      <c r="G76" s="6" t="s">
        <v>817</v>
      </c>
      <c r="H76" s="6" t="s">
        <v>409</v>
      </c>
      <c r="I76" s="6" t="s">
        <v>718</v>
      </c>
      <c r="J76" s="6" t="s">
        <v>734</v>
      </c>
      <c r="K76" s="6" t="s">
        <v>52</v>
      </c>
      <c r="L76" s="6"/>
      <c r="M76" s="6"/>
      <c r="N76" s="6" t="str">
        <f t="shared" si="2"/>
        <v>Complete</v>
      </c>
    </row>
    <row r="77" spans="1:14" ht="49.95" customHeight="1">
      <c r="A77" s="6" t="s">
        <v>568</v>
      </c>
      <c r="B77" s="6" t="s">
        <v>721</v>
      </c>
      <c r="C77" s="6" t="s">
        <v>569</v>
      </c>
      <c r="D77" s="6" t="s">
        <v>570</v>
      </c>
      <c r="E77" s="6" t="s">
        <v>818</v>
      </c>
      <c r="F77" s="6" t="s">
        <v>819</v>
      </c>
      <c r="G77" s="6" t="s">
        <v>820</v>
      </c>
      <c r="H77" s="6" t="s">
        <v>409</v>
      </c>
      <c r="I77" s="6" t="s">
        <v>718</v>
      </c>
      <c r="J77" s="6" t="s">
        <v>734</v>
      </c>
      <c r="K77" s="6" t="s">
        <v>52</v>
      </c>
      <c r="L77" s="6"/>
      <c r="M77" s="6"/>
      <c r="N77" s="6" t="str">
        <f t="shared" si="2"/>
        <v>Complete</v>
      </c>
    </row>
    <row r="78" spans="1:14" ht="49.95" customHeight="1">
      <c r="A78" s="6" t="s">
        <v>571</v>
      </c>
      <c r="B78" s="6" t="s">
        <v>721</v>
      </c>
      <c r="C78" s="6" t="s">
        <v>572</v>
      </c>
      <c r="D78" s="6" t="s">
        <v>573</v>
      </c>
      <c r="E78" s="6" t="s">
        <v>821</v>
      </c>
      <c r="F78" s="6" t="s">
        <v>822</v>
      </c>
      <c r="G78" s="6"/>
      <c r="H78" s="6" t="s">
        <v>352</v>
      </c>
      <c r="I78" s="6" t="s">
        <v>718</v>
      </c>
      <c r="J78" s="6" t="s">
        <v>734</v>
      </c>
      <c r="K78" s="6" t="s">
        <v>52</v>
      </c>
      <c r="L78" s="6"/>
      <c r="M78" s="6"/>
      <c r="N78" s="6" t="str">
        <f t="shared" si="2"/>
        <v>Complete</v>
      </c>
    </row>
    <row r="79" spans="1:14" ht="49.95" customHeight="1">
      <c r="A79" s="6" t="s">
        <v>574</v>
      </c>
      <c r="B79" s="6" t="s">
        <v>721</v>
      </c>
      <c r="C79" s="6" t="s">
        <v>575</v>
      </c>
      <c r="D79" s="6" t="s">
        <v>481</v>
      </c>
      <c r="E79" s="6" t="s">
        <v>823</v>
      </c>
      <c r="F79" s="6" t="s">
        <v>824</v>
      </c>
      <c r="G79" s="6"/>
      <c r="H79" s="6"/>
      <c r="I79" s="6" t="s">
        <v>718</v>
      </c>
      <c r="J79" s="6" t="s">
        <v>724</v>
      </c>
      <c r="K79" s="6" t="s">
        <v>52</v>
      </c>
      <c r="L79" s="6"/>
      <c r="M79" s="6"/>
      <c r="N79" s="6" t="str">
        <f t="shared" si="2"/>
        <v>Complete</v>
      </c>
    </row>
    <row r="80" spans="1:14" ht="49.95" customHeight="1">
      <c r="A80" s="6" t="s">
        <v>576</v>
      </c>
      <c r="B80" s="6" t="s">
        <v>721</v>
      </c>
      <c r="C80" s="6" t="s">
        <v>577</v>
      </c>
      <c r="D80" s="6" t="s">
        <v>534</v>
      </c>
      <c r="E80" s="6" t="s">
        <v>825</v>
      </c>
      <c r="F80" s="6" t="s">
        <v>826</v>
      </c>
      <c r="G80" s="6"/>
      <c r="H80" s="6"/>
      <c r="I80" s="6" t="s">
        <v>718</v>
      </c>
      <c r="J80" s="6" t="s">
        <v>724</v>
      </c>
      <c r="K80" s="6" t="s">
        <v>52</v>
      </c>
      <c r="L80" s="6"/>
      <c r="M80" s="6"/>
      <c r="N80" s="6" t="str">
        <f t="shared" si="2"/>
        <v>Complete</v>
      </c>
    </row>
    <row r="81" spans="1:14" ht="49.95" customHeight="1">
      <c r="A81" s="6" t="s">
        <v>578</v>
      </c>
      <c r="B81" s="6" t="s">
        <v>721</v>
      </c>
      <c r="C81" s="6" t="s">
        <v>579</v>
      </c>
      <c r="D81" s="6" t="s">
        <v>580</v>
      </c>
      <c r="E81" s="6" t="s">
        <v>827</v>
      </c>
      <c r="F81" s="6" t="s">
        <v>828</v>
      </c>
      <c r="G81" s="6"/>
      <c r="H81" s="6"/>
      <c r="I81" s="6" t="s">
        <v>718</v>
      </c>
      <c r="J81" s="6" t="s">
        <v>724</v>
      </c>
      <c r="K81" s="6" t="s">
        <v>52</v>
      </c>
      <c r="L81" s="6"/>
      <c r="M81" s="6"/>
      <c r="N81" s="6" t="str">
        <f t="shared" si="2"/>
        <v>Complete</v>
      </c>
    </row>
    <row r="82" spans="1:14" ht="49.95" customHeight="1">
      <c r="A82" s="6" t="s">
        <v>581</v>
      </c>
      <c r="B82" s="6" t="s">
        <v>721</v>
      </c>
      <c r="C82" s="6" t="s">
        <v>582</v>
      </c>
      <c r="D82" s="6" t="s">
        <v>583</v>
      </c>
      <c r="E82" s="6" t="s">
        <v>829</v>
      </c>
      <c r="F82" s="6" t="s">
        <v>830</v>
      </c>
      <c r="G82" s="6"/>
      <c r="H82" s="6"/>
      <c r="I82" s="6" t="s">
        <v>718</v>
      </c>
      <c r="J82" s="6" t="s">
        <v>724</v>
      </c>
      <c r="K82" s="6" t="s">
        <v>52</v>
      </c>
      <c r="L82" s="6"/>
      <c r="M82" s="6"/>
      <c r="N82" s="6" t="str">
        <f t="shared" si="2"/>
        <v>Complete</v>
      </c>
    </row>
    <row r="83" spans="1:14" ht="49.95" customHeight="1">
      <c r="A83" s="6" t="s">
        <v>584</v>
      </c>
      <c r="B83" s="6" t="s">
        <v>721</v>
      </c>
      <c r="C83" s="6" t="s">
        <v>585</v>
      </c>
      <c r="D83" s="6" t="s">
        <v>503</v>
      </c>
      <c r="E83" s="6" t="s">
        <v>831</v>
      </c>
      <c r="F83" s="6" t="s">
        <v>832</v>
      </c>
      <c r="G83" s="6"/>
      <c r="H83" s="6"/>
      <c r="I83" s="6" t="s">
        <v>718</v>
      </c>
      <c r="J83" s="6" t="s">
        <v>724</v>
      </c>
      <c r="K83" s="6" t="s">
        <v>52</v>
      </c>
      <c r="L83" s="6"/>
      <c r="M83" s="6"/>
      <c r="N83" s="6" t="str">
        <f t="shared" si="2"/>
        <v>Complete</v>
      </c>
    </row>
    <row r="84" spans="1:14" ht="49.95" customHeight="1">
      <c r="A84" s="6" t="s">
        <v>586</v>
      </c>
      <c r="B84" s="6" t="s">
        <v>721</v>
      </c>
      <c r="C84" s="6" t="s">
        <v>587</v>
      </c>
      <c r="D84" s="6" t="s">
        <v>588</v>
      </c>
      <c r="E84" s="6" t="s">
        <v>833</v>
      </c>
      <c r="F84" s="6" t="s">
        <v>834</v>
      </c>
      <c r="G84" s="6" t="s">
        <v>835</v>
      </c>
      <c r="H84" s="6"/>
      <c r="I84" s="6" t="s">
        <v>718</v>
      </c>
      <c r="J84" s="6" t="s">
        <v>724</v>
      </c>
      <c r="K84" s="6" t="s">
        <v>52</v>
      </c>
      <c r="L84" s="6"/>
      <c r="M84" s="6"/>
      <c r="N84" s="6" t="str">
        <f t="shared" si="2"/>
        <v>Complete</v>
      </c>
    </row>
    <row r="85" spans="1:14" ht="49.95" customHeight="1">
      <c r="A85" s="7" t="s">
        <v>589</v>
      </c>
      <c r="B85" s="7" t="s">
        <v>721</v>
      </c>
      <c r="C85" s="7" t="s">
        <v>590</v>
      </c>
      <c r="D85" s="7" t="s">
        <v>503</v>
      </c>
      <c r="E85" s="7" t="s">
        <v>836</v>
      </c>
      <c r="F85" s="7" t="s">
        <v>837</v>
      </c>
      <c r="G85" s="7"/>
      <c r="H85" s="7"/>
      <c r="I85" s="7" t="s">
        <v>718</v>
      </c>
      <c r="J85" s="7" t="s">
        <v>724</v>
      </c>
      <c r="K85" s="7" t="s">
        <v>52</v>
      </c>
      <c r="L85" s="7"/>
      <c r="M85" s="7"/>
      <c r="N85" s="7" t="str">
        <f t="shared" si="2"/>
        <v>Complete</v>
      </c>
    </row>
  </sheetData>
  <mergeCells count="2">
    <mergeCell ref="A1:N1"/>
    <mergeCell ref="A2:N2"/>
  </mergeCells>
  <conditionalFormatting sqref="N5:N85">
    <cfRule type="containsText" dxfId="7" priority="1" operator="containsText" text="Complete"/>
    <cfRule type="containsText" dxfId="6" priority="2" operator="containsText" text="Review"/>
    <cfRule type="containsText" dxfId="5" priority="3" operator="containsText" text="Complete"/>
    <cfRule type="containsText" dxfId="4" priority="4" operator="containsText" text="Review"/>
    <cfRule type="containsText" dxfId="3" priority="5" operator="containsText" text="Complete"/>
    <cfRule type="containsText" dxfId="2" priority="6" operator="containsText" text="Review"/>
    <cfRule type="containsText" dxfId="1" priority="7" operator="containsText" text="Complete"/>
    <cfRule type="containsText" dxfId="0" priority="8" operator="containsText" text="Review"/>
  </conditionalFormatting>
  <dataValidations count="1">
    <dataValidation type="list" sqref="K5:K85" xr:uid="{00000000-0002-0000-0600-000000000000}">
      <formula1>"Not Run,Passed,Failed,Blocked,Not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RTM Master</vt:lpstr>
      <vt:lpstr>BR Catalog</vt:lpstr>
      <vt:lpstr>NFR Catalog</vt:lpstr>
      <vt:lpstr>UC Catalog</vt:lpstr>
      <vt:lpstr>Legend</vt:lpstr>
      <vt:lpstr>Requirement Test 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2026-08-17T00:00:37Z</dcterms:created>
  <dcterms:modified xsi:type="dcterms:W3CDTF">2026-08-17T00:00:55Z</dcterms:modified>
</cp:coreProperties>
</file>